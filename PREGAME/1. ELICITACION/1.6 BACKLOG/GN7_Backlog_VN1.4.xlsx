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tia_myo4ct1\Downloads\"/>
    </mc:Choice>
  </mc:AlternateContent>
  <xr:revisionPtr revIDLastSave="0" documentId="8_{22F51955-C317-402F-B542-8CF369C47BB7}" xr6:coauthVersionLast="47" xr6:coauthVersionMax="47" xr10:uidLastSave="{00000000-0000-0000-0000-000000000000}"/>
  <bookViews>
    <workbookView xWindow="5760" yWindow="4080" windowWidth="17280" windowHeight="8880" activeTab="1" xr2:uid="{00000000-000D-0000-FFFF-FFFF00000000}"/>
  </bookViews>
  <sheets>
    <sheet name="BACKLOG" sheetId="1" r:id="rId1"/>
    <sheet name="SPRINT 0, SPRINT 1 Y SPRINT 2" sheetId="2" r:id="rId2"/>
    <sheet name="BURDONCHA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H23" i="3" l="1"/>
  <c r="AH24" i="3"/>
  <c r="AH26" i="3"/>
  <c r="C29" i="3"/>
  <c r="C28" i="3"/>
  <c r="D29" i="3" l="1"/>
  <c r="D28" i="3"/>
  <c r="E28" i="3" l="1"/>
  <c r="F28" i="3" s="1"/>
  <c r="G28" i="3" s="1"/>
  <c r="H28" i="3" s="1"/>
  <c r="I28" i="3" s="1"/>
  <c r="J28" i="3" s="1"/>
  <c r="K28" i="3" s="1"/>
  <c r="L28" i="3" s="1"/>
  <c r="M28" i="3" s="1"/>
  <c r="N28" i="3" s="1"/>
  <c r="O28" i="3" s="1"/>
  <c r="P28" i="3" s="1"/>
  <c r="Q28" i="3" s="1"/>
  <c r="R28" i="3" s="1"/>
  <c r="S28" i="3" s="1"/>
  <c r="T28" i="3" s="1"/>
  <c r="U28" i="3" s="1"/>
  <c r="V28" i="3" s="1"/>
  <c r="W28" i="3" s="1"/>
  <c r="X28" i="3" s="1"/>
  <c r="Y28" i="3" s="1"/>
  <c r="Z28" i="3" s="1"/>
  <c r="AA28" i="3" s="1"/>
  <c r="AB28" i="3" s="1"/>
  <c r="AC28" i="3" s="1"/>
  <c r="AD28" i="3" s="1"/>
  <c r="AE28" i="3" s="1"/>
  <c r="AF28" i="3" s="1"/>
  <c r="AG28" i="3" s="1"/>
  <c r="E29" i="3"/>
  <c r="F29" i="3" s="1"/>
  <c r="G29" i="3" s="1"/>
  <c r="H29" i="3" s="1"/>
  <c r="I29" i="3" s="1"/>
  <c r="J29" i="3" s="1"/>
  <c r="K29" i="3" s="1"/>
  <c r="L29" i="3" s="1"/>
  <c r="M29" i="3" s="1"/>
  <c r="N29" i="3" s="1"/>
  <c r="O29" i="3" s="1"/>
  <c r="P29" i="3" s="1"/>
  <c r="Q29" i="3" s="1"/>
  <c r="R29" i="3" s="1"/>
  <c r="S29" i="3" s="1"/>
  <c r="T29" i="3" s="1"/>
  <c r="U29" i="3" s="1"/>
  <c r="V29" i="3" s="1"/>
  <c r="W29" i="3" s="1"/>
  <c r="X29" i="3" s="1"/>
  <c r="Y29" i="3" s="1"/>
  <c r="Z29" i="3" s="1"/>
  <c r="AA29" i="3" s="1"/>
  <c r="AB29" i="3" s="1"/>
  <c r="AC29" i="3" s="1"/>
  <c r="AD29" i="3" s="1"/>
  <c r="AE29" i="3" s="1"/>
  <c r="AF29" i="3" s="1"/>
  <c r="AG29" i="3" s="1"/>
  <c r="AH4" i="3"/>
  <c r="AH21" i="3"/>
  <c r="AH19" i="3"/>
  <c r="AH18" i="3"/>
  <c r="AH28" i="3" l="1"/>
  <c r="AH29" i="3"/>
  <c r="AH16" i="3"/>
  <c r="AH15" i="3"/>
  <c r="AH13" i="3"/>
  <c r="AH12" i="3"/>
  <c r="AH11" i="3"/>
  <c r="AH9" i="3"/>
  <c r="AH8" i="3"/>
  <c r="AH5" i="3" l="1"/>
  <c r="AH6" i="3"/>
</calcChain>
</file>

<file path=xl/sharedStrings.xml><?xml version="1.0" encoding="utf-8"?>
<sst xmlns="http://schemas.openxmlformats.org/spreadsheetml/2006/main" count="297" uniqueCount="168">
  <si>
    <t>t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</si>
  <si>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</si>
  <si>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</si>
  <si>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</si>
  <si>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</si>
  <si>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</si>
  <si>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</si>
  <si>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</si>
  <si>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</si>
  <si>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Alta</t>
  </si>
  <si>
    <t>ID</t>
  </si>
  <si>
    <t>Necesito</t>
  </si>
  <si>
    <t>así podre...</t>
  </si>
  <si>
    <t>Prioridad</t>
  </si>
  <si>
    <t>Status</t>
  </si>
  <si>
    <t>Tareas</t>
  </si>
  <si>
    <t>Asignado</t>
  </si>
  <si>
    <t>Estimado</t>
  </si>
  <si>
    <t>REQ001-1</t>
  </si>
  <si>
    <t>REQ001-2</t>
  </si>
  <si>
    <t>REQ001-3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</si>
  <si>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</si>
  <si>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</si>
  <si>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</si>
  <si>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</si>
  <si>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</si>
  <si>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</si>
  <si>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</si>
  <si>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</si>
  <si>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REQ002-1</t>
  </si>
  <si>
    <t>REQ002-2</t>
  </si>
  <si>
    <t>REQ003-1</t>
  </si>
  <si>
    <t>REQ003-2</t>
  </si>
  <si>
    <t>REQ003-3</t>
  </si>
  <si>
    <t>REQ006-1</t>
  </si>
  <si>
    <t>Administrador</t>
  </si>
  <si>
    <t>REQ004-1</t>
  </si>
  <si>
    <t>REQ004-2</t>
  </si>
  <si>
    <t>REQ005-1</t>
  </si>
  <si>
    <t>REQ005-2</t>
  </si>
  <si>
    <t>SPRINT 1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</si>
  <si>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</si>
  <si>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</si>
  <si>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</si>
  <si>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</si>
  <si>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</si>
  <si>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</si>
  <si>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</si>
  <si>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</si>
  <si>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</si>
  <si>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Día 15</t>
  </si>
  <si>
    <t>Día 16</t>
  </si>
  <si>
    <t>Día17</t>
  </si>
  <si>
    <t>Día 18</t>
  </si>
  <si>
    <t>Día 19</t>
  </si>
  <si>
    <t>REQ007-1</t>
  </si>
  <si>
    <t>REQ008-1</t>
  </si>
  <si>
    <t>Día 20</t>
  </si>
  <si>
    <t>Día 21</t>
  </si>
  <si>
    <t>Día 22</t>
  </si>
  <si>
    <t>Día 23</t>
  </si>
  <si>
    <t>Día 24</t>
  </si>
  <si>
    <t>Día 25</t>
  </si>
  <si>
    <t>Día 26</t>
  </si>
  <si>
    <t>Día 27</t>
  </si>
  <si>
    <t>Día 28</t>
  </si>
  <si>
    <t>Día 29</t>
  </si>
  <si>
    <t>Día 30</t>
  </si>
  <si>
    <t>REQ007-2</t>
  </si>
  <si>
    <t>Altra</t>
  </si>
  <si>
    <t>REQ002</t>
  </si>
  <si>
    <t>REQ003</t>
  </si>
  <si>
    <t>REQ002-3</t>
  </si>
  <si>
    <t>Gestión de accesos y roles administrativos</t>
  </si>
  <si>
    <t>Que el sistema implemente un reconocimiento exclusivo para administradores, mediante un módulo de autenticación con usuario y contraseña válidos.</t>
  </si>
  <si>
    <t>Garantizar la seguridad y control de accesos del sistema de inventario, evitando manipulaciones no autorizadas y mejorando la gestión administrativa.</t>
  </si>
  <si>
    <t>Probar inicio de sesión con credenciales correctas, incorrectas y usuario deshabilitado (debe negar acceso).</t>
  </si>
  <si>
    <t>Categorización de productos en el inventario</t>
  </si>
  <si>
    <t>Que el sistema organice los productos mediante categorías claras y filtros de búsqueda avanzados para facilitar su consulta, registro y administración.</t>
  </si>
  <si>
    <t>Mejorar la velocidad, precisión y eficiencia en la gestión y localización de productos dentro del inventario.</t>
  </si>
  <si>
    <t>Verificar que el sistema permita insertar, modificar, buscar y eliminar productos correctamente; validar que cada producto se asocie a una categoría válida; comprobar filtros por categoría, nombre, precio, lote y stock utilizando distintos volúmenes de datos.</t>
  </si>
  <si>
    <t>Media</t>
  </si>
  <si>
    <t>Control de caducidad y alertas de stock bajo</t>
  </si>
  <si>
    <t>Que el sistema registre fechas de caducidad y niveles mínimos de stock para cada producto, y que me alerte cuando un artículo esté próximo a vencer o tenga inventario bajo.</t>
  </si>
  <si>
    <t>Evitar pérdidas por productos vencidos, garantizar disponibilidad adecuada de medicamentos y mejorar la gestión del inventario.</t>
  </si>
  <si>
    <t>Verificar que se registren productos con fechas próximas a caducar y con stock bajo; comprobar que el sistema genere alertas visuales o mensajes 30 días antes del vencimiento o cuando el stock esté por debajo del mínimo; validar que las alertas se ajusten automáticamente cuando se editen datos.</t>
  </si>
  <si>
    <t>Baja</t>
  </si>
  <si>
    <t>iniciar sesion con usuario y contraseña</t>
  </si>
  <si>
    <t>Evitar manipulaciones de personas ajenas</t>
  </si>
  <si>
    <t>Organizar los productos por categorización</t>
  </si>
  <si>
    <t>Facilitar la localizacion y gestion de productos</t>
  </si>
  <si>
    <t>registrar fechas de caducidad y productos sin stock</t>
  </si>
  <si>
    <t>Tenr disponibilidad de los productos que se encuentran en stock</t>
  </si>
  <si>
    <t>Interfaz de Login</t>
  </si>
  <si>
    <t>Validación de credenciales</t>
  </si>
  <si>
    <t>Gestión de administradores</t>
  </si>
  <si>
    <t>César Herrera</t>
  </si>
  <si>
    <t>Crear pantalla de ingreso con usuario y contraseña.</t>
  </si>
  <si>
    <t>Verificar usuario/contraseña en backend.</t>
  </si>
  <si>
    <t>Registrar administradores habilitados o deshabilitados.</t>
  </si>
  <si>
    <t>Estructura de categorías</t>
  </si>
  <si>
    <t>CRUD de productos</t>
  </si>
  <si>
    <t>Filtros avanzados</t>
  </si>
  <si>
    <t>Registro de caducidad</t>
  </si>
  <si>
    <t>Configurar stock mínimo</t>
  </si>
  <si>
    <t>Alertas por vencimiento</t>
  </si>
  <si>
    <t>Agregar campo de fecha de vencimiento por producto.</t>
  </si>
  <si>
    <t>Definir cantidad mínima aceptable por producto.</t>
  </si>
  <si>
    <t>Alertar 30 días antes de la fecha de caducidad.</t>
  </si>
  <si>
    <t>Crear categorías y subcategorías organizadas.</t>
  </si>
  <si>
    <t>Permitir agregar, editar y eliminar productos.</t>
  </si>
  <si>
    <t>Filtro por nombre, precio, categoría, lote y stock.</t>
  </si>
  <si>
    <t>Matias Intriago</t>
  </si>
  <si>
    <t>Kelly Montalvo</t>
  </si>
  <si>
    <t>REQ004</t>
  </si>
  <si>
    <t>Persistencia de datos con MongoDB</t>
  </si>
  <si>
    <t>Guardar permanentemente las medicinas registradas en una base de datos</t>
  </si>
  <si>
    <t>Mantener el registro de medicinas aunque se cierre el programa y tener datos disponibles para reportes futuros</t>
  </si>
  <si>
    <t>Implementar conexión con MongoDB Atlas o local. Incluye configuración de pymongo, creación de colección "medicinas" con validaciones, migración de funciones de registro/búsqueda/listado, y manejo de errores de conexión</t>
  </si>
  <si>
    <t>En proceso</t>
  </si>
  <si>
    <t>REQ005</t>
  </si>
  <si>
    <t>Reporte de medicinas por fecha</t>
  </si>
  <si>
    <t>Generar un reporte con todos los datos de la base de datos, filtrable desde una fecha seleccionada</t>
  </si>
  <si>
    <t>Obtener un resumen del historial de medicinas para control y toma de decisiones, visualizando cantidad de medicinas, stock bajo y próximas a caducar</t>
  </si>
  <si>
    <t>Incluye calendario para selección de fecha "desde", consulta a MongoDB, visualización en pantalla con resumen y tabla detallada, y opción de descarga en PDF o Excel</t>
  </si>
  <si>
    <t xml:space="preserve">SPRINT 0 </t>
  </si>
  <si>
    <t>encargado</t>
  </si>
  <si>
    <t>En Proceso</t>
  </si>
  <si>
    <t>REQ004-3</t>
  </si>
  <si>
    <t>REQ005-3</t>
  </si>
  <si>
    <t>Cesar Herrera</t>
  </si>
  <si>
    <t>Crear BD/cluster en MongoDB (Atlas o local) y configurar acceso</t>
  </si>
  <si>
    <t>Instalar y configurar conexión con pymongo y variables de entorno</t>
  </si>
  <si>
    <t>Crear colección "medicinas" con campos y validaciones básicas (nombre, lote, stock, caducidad, categoría)</t>
  </si>
  <si>
    <t>Modificar función "Registrar medicina" para guardar en MongoDB en lugar de memoria</t>
  </si>
  <si>
    <t>Modificar funciones "Buscar/Ver/Listar" para leer datos desde MongoDB</t>
  </si>
  <si>
    <t>Implementar manejo de errores (sin conexión, datos inválidos, excepciones de MongoDB)</t>
  </si>
  <si>
    <t>Realizar pruebas de persistencia y crear índices por nombre y lote para optimización</t>
  </si>
  <si>
    <t>REQ004-4</t>
  </si>
  <si>
    <t>REQ004-5</t>
  </si>
  <si>
    <t>REQ004-6</t>
  </si>
  <si>
    <t>REQ004-7</t>
  </si>
  <si>
    <t>Generar un reporte con todos los datos de la base de datos</t>
  </si>
  <si>
    <t>Obtener un resumen del historial de medicinas para control y toma de decisione</t>
  </si>
  <si>
    <t>REQ005-4</t>
  </si>
  <si>
    <t>REQ005-5</t>
  </si>
  <si>
    <t>REQ005-6</t>
  </si>
  <si>
    <t>Crear interfaz con calendario para seleccionar fecha "desde" y botón "Generar reporte"</t>
  </si>
  <si>
    <t>Implementar consulta a MongoDB que filtre medicinas registradas desde la fecha seleccionada</t>
  </si>
  <si>
    <t>Calcular y mostrar resumen estadístico (cantidad total de medicinas, stock bajo, próximas a caducar)</t>
  </si>
  <si>
    <t>Crear tabla detallada en pantalla con columnas: nombre, categoría, stock, caducidad, lote</t>
  </si>
  <si>
    <t>Implementar validaciones y mensaje "No hay registros desde la fecha seleccionada" para casos sin datos</t>
  </si>
  <si>
    <t>Agregar funcionalidad de exportación del reporte a PDF o Excel</t>
  </si>
  <si>
    <t>SPRINT 2</t>
  </si>
  <si>
    <t xml:space="preserve">Terminado </t>
  </si>
  <si>
    <t>0.5</t>
  </si>
  <si>
    <t>Terminado</t>
  </si>
  <si>
    <t>REQ006</t>
  </si>
  <si>
    <t>Registrar y consultar todos los movimientos realizados en el inventario (altas, bajas, modificaciones)</t>
  </si>
  <si>
    <t>Historial de movimientos de inventario</t>
  </si>
  <si>
    <t>Tener un control y trazabilidad de los cambios realizados en las medicinas para auditorías y seguimiento</t>
  </si>
  <si>
    <t>Cada vez que se registre, edite o elimine una medicina, se guardará un registro con la acción, fecha/hora, usuario y datos modificados</t>
  </si>
  <si>
    <t>Crear colección "historial_movimientos" en MongoDB con campos: acción, fecha, usuario, medicina_id, datos_anteriores, datos_nuevos</t>
  </si>
  <si>
    <t>Modificar función "Registrar medicina" para guardar movimiento tipo "ALTA" en el historial</t>
  </si>
  <si>
    <t>Modificar función "Editar medicina" para guardar movimiento tipo "MODIFICACIÓN" con datos anteriores y nuevos</t>
  </si>
  <si>
    <t>Modificar función "Eliminar medicina" para guardar movimiento tipo "BAJA" en el historial</t>
  </si>
  <si>
    <t>Crear interfaz para visualizar historial con filtros por fecha, tipo de acción y medicina</t>
  </si>
  <si>
    <t>Implementar pruebas y validación de que todos los movimientos se registran correctamente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</si>
</sst>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22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sz val="10"/>
      <color theme="1"/>
      <name val="Arial"/>
      <family val="2"/>
    </font>
    <font>
      <sz val="8"/>
      <name val="Arial"/>
      <family val="2"/>
      <scheme val="minor"/>
    </font>
    <font>
      <b/>
      <sz val="12"/>
      <color rgb="FFFF0000"/>
      <name val="Arial"/>
      <family val="2"/>
    </font>
    <font>
      <sz val="12"/>
      <color rgb="FFFF0000"/>
      <name val="Arial"/>
      <family val="2"/>
      <scheme val="minor"/>
    </font>
    <font>
      <sz val="10"/>
      <color theme="4" tint="-0.249977111117893"/>
      <name val="Arial"/>
      <family val="2"/>
    </font>
    <font>
      <sz val="10"/>
      <color theme="4" tint="-0.249977111117893"/>
      <name val="Arial"/>
      <family val="2"/>
      <scheme val="minor"/>
    </font>
    <font>
      <b/>
      <sz val="10"/>
      <color theme="4" tint="-0.249977111117893"/>
      <name val="Arial"/>
      <family val="2"/>
    </font>
    <font>
      <sz val="8"/>
      <name val="Arial"/>
      <family val="2"/>
      <scheme val="minor"/>
    </font>
    <font>
      <sz val="11"/>
      <color theme="1"/>
      <name val="Arial"/>
      <family val="2"/>
    </font>
    <font>
      <sz val="10"/>
      <color rgb="FF0070C0"/>
      <name val="Arial"/>
      <family val="2"/>
    </font>
    <font>
      <sz val="10"/>
      <color rgb="FF0070C0"/>
      <name val="Arial"/>
      <family val="2"/>
      <scheme val="minor"/>
    </font>
    <font>
      <b/>
      <sz val="10"/>
      <color theme="4" tint="-0.249977111117893"/>
      <name val="Arial"/>
      <family val="2"/>
      <scheme val="minor"/>
    </font>
    <font>
      <sz val="10"/>
      <color theme="8" tint="-0.249977111117893"/>
      <name val="Arial"/>
      <family val="2"/>
    </font>
    <font>
      <sz val="10"/>
      <color theme="8" tint="-0.249977111117893"/>
      <name val="Arial"/>
      <family val="2"/>
      <scheme val="minor"/>
    </font>
    <font>
      <b/>
      <sz val="10"/>
      <color theme="8" tint="-0.249977111117893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</font>
    <font>
      <sz val="10"/>
      <color rgb="FF073763"/>
      <name val="Arial"/>
    </font>
    <font>
      <sz val="10"/>
      <color theme="1"/>
      <name val="Arial"/>
    </font>
  </fonts>
  <fills count="8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FE2F3"/>
        <bgColor rgb="FFCFE2F3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1" fillId="0" borderId="1"/>
  </cellStyleXfs>
  <cellXfs count="4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3" fillId="4" borderId="1" xfId="0" applyFont="1" applyFill="1" applyBorder="1"/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7" fillId="0" borderId="0" xfId="0" applyFont="1"/>
    <xf numFmtId="0" fontId="7" fillId="0" borderId="0" xfId="0" applyFont="1" applyAlignment="1">
      <alignment horizontal="right"/>
    </xf>
    <xf numFmtId="0" fontId="12" fillId="0" borderId="0" xfId="0" applyFont="1"/>
    <xf numFmtId="0" fontId="12" fillId="5" borderId="0" xfId="0" applyFont="1" applyFill="1"/>
    <xf numFmtId="0" fontId="12" fillId="5" borderId="0" xfId="0" applyFont="1" applyFill="1" applyAlignment="1"/>
    <xf numFmtId="0" fontId="13" fillId="5" borderId="0" xfId="0" applyFont="1" applyFill="1"/>
    <xf numFmtId="0" fontId="3" fillId="0" borderId="1" xfId="0" applyFont="1" applyFill="1" applyBorder="1"/>
    <xf numFmtId="0" fontId="3" fillId="0" borderId="0" xfId="0" applyFont="1" applyFill="1"/>
    <xf numFmtId="0" fontId="0" fillId="0" borderId="0" xfId="0" applyFill="1"/>
    <xf numFmtId="0" fontId="15" fillId="0" borderId="0" xfId="0" applyFont="1"/>
    <xf numFmtId="0" fontId="15" fillId="0" borderId="0" xfId="0" applyFont="1" applyAlignment="1">
      <alignment wrapText="1"/>
    </xf>
    <xf numFmtId="0" fontId="16" fillId="0" borderId="0" xfId="0" applyFont="1"/>
    <xf numFmtId="0" fontId="15" fillId="0" borderId="0" xfId="0" applyFont="1" applyAlignment="1">
      <alignment horizontal="left" vertical="center"/>
    </xf>
    <xf numFmtId="164" fontId="3" fillId="0" borderId="0" xfId="0" applyNumberFormat="1" applyFont="1"/>
    <xf numFmtId="0" fontId="3" fillId="0" borderId="1" xfId="0" applyFont="1" applyFill="1" applyBorder="1" applyAlignment="1">
      <alignment horizontal="right"/>
    </xf>
    <xf numFmtId="0" fontId="8" fillId="0" borderId="0" xfId="0" applyFont="1" applyAlignment="1">
      <alignment vertical="center" wrapText="1"/>
    </xf>
    <xf numFmtId="0" fontId="3" fillId="6" borderId="0" xfId="0" applyFont="1" applyFill="1"/>
    <xf numFmtId="0" fontId="7" fillId="0" borderId="0" xfId="0" applyFont="1"/>
    <xf numFmtId="0" fontId="12" fillId="0" borderId="0" xfId="0" applyFont="1" applyAlignment="1">
      <alignment horizontal="center" vertical="center" wrapText="1"/>
    </xf>
    <xf numFmtId="0" fontId="7" fillId="0" borderId="0" xfId="0" applyFont="1" applyAlignment="1"/>
    <xf numFmtId="0" fontId="12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20" fillId="7" borderId="2" xfId="0" applyFont="1" applyFill="1" applyBorder="1" applyAlignment="1">
      <alignment wrapText="1"/>
    </xf>
    <xf numFmtId="0" fontId="21" fillId="0" borderId="0" xfId="0" applyFont="1"/>
    <xf numFmtId="0" fontId="20" fillId="0" borderId="0" xfId="0" applyFont="1" applyAlignment="1">
      <alignment wrapText="1"/>
    </xf>
    <xf numFmtId="0" fontId="20" fillId="0" borderId="0" xfId="0" applyFont="1" applyAlignment="1">
      <alignment horizont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20" fillId="0" borderId="0" xfId="0" applyFont="1" applyAlignment="1">
      <alignment wrapText="1"/>
    </xf>
    <xf numFmtId="0" fontId="0" fillId="0" borderId="0" xfId="0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REQUERIMIENTOS</a:t>
            </a:r>
          </a:p>
        </c:rich>
      </c:tx>
      <c:layout>
        <c:manualLayout>
          <c:xMode val="edge"/>
          <c:yMode val="edge"/>
          <c:x val="0.7622919097729608"/>
          <c:y val="4.22084064997147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4.1558171346424047E-2"/>
          <c:y val="1.6421018225114249E-2"/>
          <c:w val="0.93191790278551634"/>
          <c:h val="0.7618268406058164"/>
        </c:manualLayout>
      </c:layout>
      <c:lineChart>
        <c:grouping val="standard"/>
        <c:varyColors val="0"/>
        <c:ser>
          <c:idx val="0"/>
          <c:order val="0"/>
          <c:tx>
            <c:strRef>
              <c:f>BURDONCHART!$B$28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BURDONCHART!$C$28:$AG$28</c:f>
              <c:numCache>
                <c:formatCode>General</c:formatCode>
                <c:ptCount val="31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61</c:v>
                </c:pt>
                <c:pt idx="7">
                  <c:v>57</c:v>
                </c:pt>
                <c:pt idx="8">
                  <c:v>53</c:v>
                </c:pt>
                <c:pt idx="9">
                  <c:v>49</c:v>
                </c:pt>
                <c:pt idx="10">
                  <c:v>45</c:v>
                </c:pt>
                <c:pt idx="11">
                  <c:v>41</c:v>
                </c:pt>
                <c:pt idx="12">
                  <c:v>40</c:v>
                </c:pt>
                <c:pt idx="13">
                  <c:v>39</c:v>
                </c:pt>
                <c:pt idx="14">
                  <c:v>38</c:v>
                </c:pt>
                <c:pt idx="15">
                  <c:v>35</c:v>
                </c:pt>
                <c:pt idx="16">
                  <c:v>33</c:v>
                </c:pt>
                <c:pt idx="17">
                  <c:v>32</c:v>
                </c:pt>
                <c:pt idx="18">
                  <c:v>31</c:v>
                </c:pt>
                <c:pt idx="19">
                  <c:v>28</c:v>
                </c:pt>
                <c:pt idx="20">
                  <c:v>27</c:v>
                </c:pt>
                <c:pt idx="21">
                  <c:v>22</c:v>
                </c:pt>
                <c:pt idx="22">
                  <c:v>19</c:v>
                </c:pt>
                <c:pt idx="23">
                  <c:v>16</c:v>
                </c:pt>
                <c:pt idx="24">
                  <c:v>12</c:v>
                </c:pt>
                <c:pt idx="25">
                  <c:v>10</c:v>
                </c:pt>
                <c:pt idx="26">
                  <c:v>3</c:v>
                </c:pt>
                <c:pt idx="27">
                  <c:v>-3</c:v>
                </c:pt>
                <c:pt idx="28">
                  <c:v>-8</c:v>
                </c:pt>
                <c:pt idx="29">
                  <c:v>-13</c:v>
                </c:pt>
                <c:pt idx="30">
                  <c:v>-13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3C-406F-9815-2B3C88F5CEB6}"/>
            </c:ext>
          </c:extLst>
        </c:ser>
        <c:ser>
          <c:idx val="1"/>
          <c:order val="1"/>
          <c:tx>
            <c:strRef>
              <c:f>BURDONCHART!$B$29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BURDONCHART!$C$29:$AG$29</c:f>
              <c:numCache>
                <c:formatCode>0.0</c:formatCode>
                <c:ptCount val="31"/>
                <c:pt idx="0" formatCode="General">
                  <c:v>65</c:v>
                </c:pt>
                <c:pt idx="1">
                  <c:v>62.833333333333336</c:v>
                </c:pt>
                <c:pt idx="2">
                  <c:v>60.666666666666671</c:v>
                </c:pt>
                <c:pt idx="3">
                  <c:v>58.500000000000007</c:v>
                </c:pt>
                <c:pt idx="4">
                  <c:v>56.333333333333343</c:v>
                </c:pt>
                <c:pt idx="5">
                  <c:v>54.166666666666679</c:v>
                </c:pt>
                <c:pt idx="6">
                  <c:v>52.000000000000014</c:v>
                </c:pt>
                <c:pt idx="7">
                  <c:v>49.83333333333335</c:v>
                </c:pt>
                <c:pt idx="8">
                  <c:v>47.666666666666686</c:v>
                </c:pt>
                <c:pt idx="9">
                  <c:v>45.500000000000021</c:v>
                </c:pt>
                <c:pt idx="10">
                  <c:v>43.333333333333357</c:v>
                </c:pt>
                <c:pt idx="11">
                  <c:v>41.166666666666693</c:v>
                </c:pt>
                <c:pt idx="12">
                  <c:v>39.000000000000028</c:v>
                </c:pt>
                <c:pt idx="13">
                  <c:v>36.833333333333364</c:v>
                </c:pt>
                <c:pt idx="14">
                  <c:v>34.6666666666667</c:v>
                </c:pt>
                <c:pt idx="15">
                  <c:v>32.500000000000036</c:v>
                </c:pt>
                <c:pt idx="16">
                  <c:v>30.333333333333368</c:v>
                </c:pt>
                <c:pt idx="17">
                  <c:v>28.1666666666667</c:v>
                </c:pt>
                <c:pt idx="18">
                  <c:v>26.000000000000032</c:v>
                </c:pt>
                <c:pt idx="19">
                  <c:v>23.833333333333364</c:v>
                </c:pt>
                <c:pt idx="20">
                  <c:v>21.666666666666696</c:v>
                </c:pt>
                <c:pt idx="21">
                  <c:v>19.500000000000028</c:v>
                </c:pt>
                <c:pt idx="22">
                  <c:v>17.333333333333361</c:v>
                </c:pt>
                <c:pt idx="23">
                  <c:v>15.166666666666694</c:v>
                </c:pt>
                <c:pt idx="24">
                  <c:v>13.000000000000028</c:v>
                </c:pt>
                <c:pt idx="25">
                  <c:v>10.833333333333362</c:v>
                </c:pt>
                <c:pt idx="26">
                  <c:v>8.6666666666666963</c:v>
                </c:pt>
                <c:pt idx="27">
                  <c:v>6.5000000000000302</c:v>
                </c:pt>
                <c:pt idx="28">
                  <c:v>4.3333333333333641</c:v>
                </c:pt>
                <c:pt idx="29">
                  <c:v>2.1666666666666976</c:v>
                </c:pt>
                <c:pt idx="30">
                  <c:v>3.1086244689504383E-14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3C-406F-9815-2B3C88F5C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0537856"/>
        <c:axId val="630532032"/>
      </c:lineChart>
      <c:catAx>
        <c:axId val="63053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630532032"/>
        <c:crosses val="autoZero"/>
        <c:auto val="1"/>
        <c:lblAlgn val="ctr"/>
        <c:lblOffset val="100"/>
        <c:noMultiLvlLbl val="0"/>
      </c:catAx>
      <c:valAx>
        <c:axId val="63053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63053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246557</xdr:colOff>
      <xdr:row>31</xdr:row>
      <xdr:rowOff>26444</xdr:rowOff>
    </xdr:from>
    <xdr:to>
      <xdr:col>16</xdr:col>
      <xdr:colOff>732081</xdr:colOff>
      <xdr:row>51</xdr:row>
      <xdr:rowOff>187169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D21E846-E4C5-47A2-9619-8767DF0BF5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H4:AH6" headerRowCount="0" totalsRowShown="0">
  <tableColumns count="1">
    <tableColumn id="1" xr3:uid="{00000000-0010-0000-0000-000001000000}" name="Column1" totalsRowDxfId="1">
      <calculatedColumnFormula>SUM(D4:AG4)</calculatedColumnFormula>
    </tableColumn>
  </tableColumns>
  <tableStyleInfo name="burdonchar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3" displayName="Table_13" ref="AH8:AH10" headerRowCount="0" totalsRowShown="0">
  <tableColumns count="1">
    <tableColumn id="1" xr3:uid="{00000000-0010-0000-0100-000001000000}" name="Column1" totalsRowDxfId="0">
      <calculatedColumnFormula>SUM(D8:AG8)</calculatedColumnFormula>
    </tableColumn>
  </tableColumns>
  <tableStyleInfo name="burdonchar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topLeftCell="A5" zoomScale="85" zoomScaleNormal="85" workbookViewId="0">
      <selection activeCell="E14" sqref="E14"/>
    </sheetView>
  </sheetViews>
  <sheetFormatPr baseColWidth="10" defaultColWidth="12.5546875" defaultRowHeight="15" customHeight="1" x14ac:dyDescent="0.25"/>
  <cols>
    <col min="1" max="1" width="12.44140625" customWidth="1"/>
    <col min="2" max="2" width="39.6640625" bestFit="1" customWidth="1"/>
    <col min="3" max="3" width="36" customWidth="1"/>
    <col min="4" max="4" width="37.6640625" bestFit="1" customWidth="1"/>
    <col min="5" max="5" width="66" bestFit="1" customWidth="1"/>
    <col min="6" max="6" width="31" customWidth="1"/>
    <col min="7" max="26" width="12.44140625" customWidth="1"/>
  </cols>
  <sheetData>
    <row r="1" spans="1:8" s="9" customFormat="1" ht="15.75" customHeigh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 s="11" customFormat="1" ht="15.75" customHeight="1" x14ac:dyDescent="0.25">
      <c r="A2" s="41" t="s">
        <v>40</v>
      </c>
      <c r="B2" s="41"/>
      <c r="C2" s="41"/>
      <c r="D2" s="41"/>
      <c r="E2" s="41"/>
      <c r="F2" s="41"/>
      <c r="G2" s="41"/>
      <c r="H2" s="41"/>
    </row>
    <row r="3" spans="1:8" ht="66" x14ac:dyDescent="0.25">
      <c r="A3" s="33" t="s">
        <v>8</v>
      </c>
      <c r="B3" s="31" t="s">
        <v>73</v>
      </c>
      <c r="C3" s="31" t="s">
        <v>35</v>
      </c>
      <c r="D3" s="31" t="s">
        <v>74</v>
      </c>
      <c r="E3" s="31" t="s">
        <v>75</v>
      </c>
      <c r="F3" s="31" t="s">
        <v>76</v>
      </c>
      <c r="G3" s="31" t="s">
        <v>69</v>
      </c>
      <c r="H3" s="31" t="s">
        <v>156</v>
      </c>
    </row>
    <row r="4" spans="1:8" ht="105.6" x14ac:dyDescent="0.25">
      <c r="A4" s="33" t="s">
        <v>70</v>
      </c>
      <c r="B4" s="31" t="s">
        <v>77</v>
      </c>
      <c r="C4" s="31" t="s">
        <v>35</v>
      </c>
      <c r="D4" s="31" t="s">
        <v>78</v>
      </c>
      <c r="E4" s="31" t="s">
        <v>79</v>
      </c>
      <c r="F4" s="31" t="s">
        <v>80</v>
      </c>
      <c r="G4" s="31" t="s">
        <v>81</v>
      </c>
      <c r="H4" s="31" t="s">
        <v>156</v>
      </c>
    </row>
    <row r="5" spans="1:8" ht="132" x14ac:dyDescent="0.25">
      <c r="A5" s="33" t="s">
        <v>71</v>
      </c>
      <c r="B5" s="31" t="s">
        <v>82</v>
      </c>
      <c r="C5" s="31" t="s">
        <v>35</v>
      </c>
      <c r="D5" s="31" t="s">
        <v>83</v>
      </c>
      <c r="E5" s="31" t="s">
        <v>84</v>
      </c>
      <c r="F5" s="31" t="s">
        <v>85</v>
      </c>
      <c r="G5" s="31" t="s">
        <v>86</v>
      </c>
      <c r="H5" s="31" t="s">
        <v>156</v>
      </c>
    </row>
    <row r="6" spans="1:8" s="24" customFormat="1" ht="105.6" x14ac:dyDescent="0.25">
      <c r="A6" s="33" t="s">
        <v>114</v>
      </c>
      <c r="B6" s="31" t="s">
        <v>115</v>
      </c>
      <c r="C6" s="31" t="s">
        <v>35</v>
      </c>
      <c r="D6" s="31" t="s">
        <v>116</v>
      </c>
      <c r="E6" s="31" t="s">
        <v>117</v>
      </c>
      <c r="F6" s="31" t="s">
        <v>118</v>
      </c>
      <c r="G6" s="31" t="s">
        <v>9</v>
      </c>
      <c r="H6" s="31" t="s">
        <v>119</v>
      </c>
    </row>
    <row r="7" spans="1:8" ht="66" x14ac:dyDescent="0.25">
      <c r="A7" s="33" t="s">
        <v>120</v>
      </c>
      <c r="B7" s="31" t="s">
        <v>121</v>
      </c>
      <c r="C7" s="31" t="s">
        <v>35</v>
      </c>
      <c r="D7" s="31" t="s">
        <v>122</v>
      </c>
      <c r="E7" s="31" t="s">
        <v>123</v>
      </c>
      <c r="F7" s="31" t="s">
        <v>124</v>
      </c>
      <c r="G7" s="31" t="s">
        <v>81</v>
      </c>
      <c r="H7" s="31" t="s">
        <v>119</v>
      </c>
    </row>
    <row r="8" spans="1:8" ht="66" x14ac:dyDescent="0.25">
      <c r="A8" s="33" t="s">
        <v>157</v>
      </c>
      <c r="B8" s="31" t="s">
        <v>159</v>
      </c>
      <c r="C8" s="31" t="s">
        <v>35</v>
      </c>
      <c r="D8" s="31" t="s">
        <v>158</v>
      </c>
      <c r="E8" s="31" t="s">
        <v>160</v>
      </c>
      <c r="F8" s="31" t="s">
        <v>161</v>
      </c>
      <c r="G8" s="31" t="s">
        <v>81</v>
      </c>
      <c r="H8" s="31" t="s">
        <v>119</v>
      </c>
    </row>
    <row r="9" spans="1:8" ht="15.75" customHeight="1" x14ac:dyDescent="0.25">
      <c r="A9" s="15"/>
      <c r="B9" s="22"/>
      <c r="C9" s="22"/>
      <c r="D9" s="22"/>
      <c r="E9" s="22"/>
      <c r="F9" s="24"/>
      <c r="G9" s="22"/>
      <c r="H9" s="22"/>
    </row>
    <row r="10" spans="1:8" ht="15.75" customHeight="1" x14ac:dyDescent="0.25">
      <c r="A10" s="42"/>
      <c r="B10" s="42"/>
      <c r="C10" s="42"/>
      <c r="D10" s="42"/>
      <c r="E10" s="42"/>
      <c r="F10" s="42"/>
      <c r="G10" s="42"/>
      <c r="H10" s="42"/>
    </row>
    <row r="11" spans="1:8" ht="15.75" customHeight="1" x14ac:dyDescent="0.25">
      <c r="A11" s="22"/>
      <c r="B11" s="22"/>
      <c r="C11" s="22"/>
      <c r="D11" s="25"/>
      <c r="E11" s="23"/>
      <c r="F11" s="24"/>
      <c r="G11" s="22"/>
      <c r="H11" s="22"/>
    </row>
    <row r="12" spans="1:8" ht="15.75" customHeight="1" x14ac:dyDescent="0.25">
      <c r="A12" s="15"/>
      <c r="B12" s="22"/>
      <c r="C12" s="22"/>
      <c r="D12" s="22"/>
      <c r="E12" s="22"/>
      <c r="F12" s="24"/>
      <c r="G12" s="22"/>
      <c r="H12" s="22"/>
    </row>
    <row r="13" spans="1:8" ht="15.75" customHeight="1" x14ac:dyDescent="0.25"/>
    <row r="14" spans="1:8" ht="15.75" customHeight="1" x14ac:dyDescent="0.25"/>
    <row r="15" spans="1:8" ht="15.75" customHeight="1" x14ac:dyDescent="0.25"/>
    <row r="16" spans="1:8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2:H2"/>
    <mergeCell ref="A10:H10"/>
  </mergeCells>
  <phoneticPr fontId="10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J939"/>
  <sheetViews>
    <sheetView tabSelected="1" topLeftCell="F40" zoomScale="81" zoomScaleNormal="100" workbookViewId="0">
      <selection activeCell="G52" sqref="G52"/>
    </sheetView>
  </sheetViews>
  <sheetFormatPr baseColWidth="10" defaultColWidth="12.5546875" defaultRowHeight="15" customHeight="1" x14ac:dyDescent="0.25"/>
  <cols>
    <col min="1" max="2" width="12.44140625" customWidth="1"/>
    <col min="3" max="3" width="38.6640625" bestFit="1" customWidth="1"/>
    <col min="4" max="4" width="12.88671875" bestFit="1" customWidth="1"/>
    <col min="5" max="5" width="53.88671875" bestFit="1" customWidth="1"/>
    <col min="6" max="6" width="56.33203125" customWidth="1"/>
    <col min="7" max="7" width="16.5546875" bestFit="1" customWidth="1"/>
    <col min="8" max="26" width="12.44140625" customWidth="1"/>
  </cols>
  <sheetData>
    <row r="1" spans="2:9" ht="15.75" customHeight="1" x14ac:dyDescent="0.25">
      <c r="B1" t="s">
        <v>125</v>
      </c>
    </row>
    <row r="2" spans="2:9" ht="15.75" customHeight="1" x14ac:dyDescent="0.25"/>
    <row r="3" spans="2:9" ht="15.75" customHeight="1" x14ac:dyDescent="0.25">
      <c r="B3" s="1" t="s">
        <v>10</v>
      </c>
      <c r="C3" s="1" t="s">
        <v>1</v>
      </c>
      <c r="D3" s="1" t="s">
        <v>2</v>
      </c>
      <c r="E3" s="1" t="s">
        <v>11</v>
      </c>
      <c r="F3" s="1" t="s">
        <v>12</v>
      </c>
      <c r="G3" s="1" t="s">
        <v>5</v>
      </c>
      <c r="H3" s="1" t="s">
        <v>13</v>
      </c>
      <c r="I3" s="1" t="s">
        <v>14</v>
      </c>
    </row>
    <row r="4" spans="2:9" s="11" customFormat="1" ht="15.75" customHeight="1" x14ac:dyDescent="0.25">
      <c r="B4" s="16" t="s">
        <v>8</v>
      </c>
      <c r="C4" s="16" t="s">
        <v>73</v>
      </c>
      <c r="D4" s="16" t="s">
        <v>35</v>
      </c>
      <c r="E4" s="17" t="s">
        <v>87</v>
      </c>
      <c r="F4" s="16" t="s">
        <v>88</v>
      </c>
      <c r="G4" s="18"/>
      <c r="H4" s="16" t="s">
        <v>9</v>
      </c>
      <c r="I4" s="16" t="s">
        <v>154</v>
      </c>
    </row>
    <row r="5" spans="2:9" s="11" customFormat="1" ht="15.75" customHeight="1" x14ac:dyDescent="0.25">
      <c r="B5" s="10"/>
      <c r="C5" s="12" t="s">
        <v>15</v>
      </c>
      <c r="D5" s="10"/>
      <c r="E5" s="10"/>
      <c r="F5" s="10"/>
      <c r="G5" s="12" t="s">
        <v>16</v>
      </c>
      <c r="H5" s="10"/>
      <c r="I5" s="12" t="s">
        <v>17</v>
      </c>
    </row>
    <row r="6" spans="2:9" s="11" customFormat="1" ht="15.75" customHeight="1" x14ac:dyDescent="0.25">
      <c r="B6" s="10" t="s">
        <v>18</v>
      </c>
      <c r="C6" s="32" t="s">
        <v>93</v>
      </c>
      <c r="D6" s="47" t="s">
        <v>97</v>
      </c>
      <c r="E6" s="47"/>
      <c r="F6" s="47"/>
      <c r="G6" s="10" t="s">
        <v>96</v>
      </c>
      <c r="H6" s="10"/>
      <c r="I6" s="14">
        <v>2</v>
      </c>
    </row>
    <row r="7" spans="2:9" s="11" customFormat="1" ht="15.75" customHeight="1" x14ac:dyDescent="0.25">
      <c r="B7" s="10" t="s">
        <v>19</v>
      </c>
      <c r="C7" s="32" t="s">
        <v>94</v>
      </c>
      <c r="D7" s="47" t="s">
        <v>98</v>
      </c>
      <c r="E7" s="47"/>
      <c r="F7" s="47"/>
      <c r="G7" s="13" t="s">
        <v>112</v>
      </c>
      <c r="H7" s="10"/>
      <c r="I7" s="14">
        <v>2</v>
      </c>
    </row>
    <row r="8" spans="2:9" s="11" customFormat="1" ht="15.75" customHeight="1" x14ac:dyDescent="0.25">
      <c r="B8" s="10" t="s">
        <v>20</v>
      </c>
      <c r="C8" s="32" t="s">
        <v>95</v>
      </c>
      <c r="D8" s="47" t="s">
        <v>99</v>
      </c>
      <c r="E8" s="47"/>
      <c r="F8" s="47"/>
      <c r="G8" s="13" t="s">
        <v>113</v>
      </c>
      <c r="H8" s="10"/>
      <c r="I8" s="10">
        <v>2</v>
      </c>
    </row>
    <row r="9" spans="2:9" ht="15.75" customHeight="1" x14ac:dyDescent="0.25">
      <c r="B9" s="16" t="s">
        <v>70</v>
      </c>
      <c r="C9" s="16" t="s">
        <v>77</v>
      </c>
      <c r="D9" s="16" t="s">
        <v>35</v>
      </c>
      <c r="E9" s="17" t="s">
        <v>89</v>
      </c>
      <c r="F9" s="16" t="s">
        <v>90</v>
      </c>
      <c r="G9" s="18"/>
      <c r="H9" s="16" t="s">
        <v>81</v>
      </c>
      <c r="I9" s="16" t="s">
        <v>154</v>
      </c>
    </row>
    <row r="10" spans="2:9" ht="15.75" customHeight="1" x14ac:dyDescent="0.25">
      <c r="B10" s="30" t="s">
        <v>29</v>
      </c>
      <c r="C10" s="32" t="s">
        <v>100</v>
      </c>
      <c r="D10" s="45" t="s">
        <v>109</v>
      </c>
      <c r="E10" s="46"/>
      <c r="F10" s="46"/>
      <c r="G10" s="30" t="s">
        <v>113</v>
      </c>
      <c r="I10">
        <v>2</v>
      </c>
    </row>
    <row r="11" spans="2:9" ht="15.75" customHeight="1" x14ac:dyDescent="0.25">
      <c r="B11" s="30" t="s">
        <v>30</v>
      </c>
      <c r="C11" s="32" t="s">
        <v>101</v>
      </c>
      <c r="D11" s="45" t="s">
        <v>110</v>
      </c>
      <c r="E11" s="46"/>
      <c r="F11" s="46"/>
      <c r="G11" s="30" t="s">
        <v>96</v>
      </c>
      <c r="I11">
        <v>3</v>
      </c>
    </row>
    <row r="12" spans="2:9" ht="15.75" customHeight="1" x14ac:dyDescent="0.25">
      <c r="B12" s="30" t="s">
        <v>72</v>
      </c>
      <c r="C12" s="32" t="s">
        <v>102</v>
      </c>
      <c r="D12" s="45" t="s">
        <v>111</v>
      </c>
      <c r="E12" s="46"/>
      <c r="F12" s="46"/>
      <c r="G12" s="30" t="s">
        <v>112</v>
      </c>
      <c r="I12" s="30">
        <v>3</v>
      </c>
    </row>
    <row r="13" spans="2:9" ht="15.75" customHeight="1" x14ac:dyDescent="0.25">
      <c r="B13" s="16" t="s">
        <v>71</v>
      </c>
      <c r="C13" s="16" t="s">
        <v>82</v>
      </c>
      <c r="D13" s="16" t="s">
        <v>35</v>
      </c>
      <c r="E13" s="17" t="s">
        <v>91</v>
      </c>
      <c r="F13" s="16" t="s">
        <v>92</v>
      </c>
      <c r="G13" s="18"/>
      <c r="H13" s="16" t="s">
        <v>86</v>
      </c>
      <c r="I13" s="16" t="s">
        <v>154</v>
      </c>
    </row>
    <row r="14" spans="2:9" ht="15.75" customHeight="1" x14ac:dyDescent="0.25">
      <c r="B14" s="30" t="s">
        <v>29</v>
      </c>
      <c r="C14" s="32" t="s">
        <v>103</v>
      </c>
      <c r="D14" s="45" t="s">
        <v>106</v>
      </c>
      <c r="E14" s="46"/>
      <c r="F14" s="46"/>
      <c r="G14" s="30" t="s">
        <v>112</v>
      </c>
      <c r="I14">
        <v>2</v>
      </c>
    </row>
    <row r="15" spans="2:9" ht="15.75" customHeight="1" x14ac:dyDescent="0.25">
      <c r="B15" s="30" t="s">
        <v>30</v>
      </c>
      <c r="C15" s="32" t="s">
        <v>104</v>
      </c>
      <c r="D15" s="45" t="s">
        <v>107</v>
      </c>
      <c r="E15" s="46"/>
      <c r="F15" s="46"/>
      <c r="G15" s="30" t="s">
        <v>113</v>
      </c>
      <c r="I15">
        <v>2</v>
      </c>
    </row>
    <row r="16" spans="2:9" ht="15.75" customHeight="1" x14ac:dyDescent="0.25">
      <c r="B16" s="30" t="s">
        <v>72</v>
      </c>
      <c r="C16" s="32" t="s">
        <v>105</v>
      </c>
      <c r="D16" s="45" t="s">
        <v>108</v>
      </c>
      <c r="E16" s="46"/>
      <c r="F16" s="46"/>
      <c r="G16" s="30" t="s">
        <v>96</v>
      </c>
      <c r="I16">
        <v>3</v>
      </c>
    </row>
    <row r="17" spans="2:10" ht="15.75" customHeight="1" x14ac:dyDescent="0.25"/>
    <row r="18" spans="2:10" ht="15.75" customHeight="1" x14ac:dyDescent="0.25">
      <c r="B18" s="30" t="s">
        <v>40</v>
      </c>
    </row>
    <row r="19" spans="2:10" ht="15.75" customHeight="1" x14ac:dyDescent="0.25"/>
    <row r="20" spans="2:10" ht="15.75" customHeight="1" x14ac:dyDescent="0.25">
      <c r="B20" s="34" t="s">
        <v>10</v>
      </c>
      <c r="C20" s="34" t="s">
        <v>1</v>
      </c>
      <c r="D20" s="34" t="s">
        <v>2</v>
      </c>
      <c r="E20" s="34" t="s">
        <v>11</v>
      </c>
      <c r="F20" s="34" t="s">
        <v>12</v>
      </c>
      <c r="G20" s="34" t="s">
        <v>126</v>
      </c>
      <c r="H20" s="34" t="s">
        <v>5</v>
      </c>
      <c r="I20" s="34" t="s">
        <v>13</v>
      </c>
      <c r="J20" s="34" t="s">
        <v>14</v>
      </c>
    </row>
    <row r="21" spans="2:10" ht="26.4" x14ac:dyDescent="0.25">
      <c r="B21" s="35" t="s">
        <v>114</v>
      </c>
      <c r="C21" s="35" t="s">
        <v>115</v>
      </c>
      <c r="D21" s="35" t="s">
        <v>35</v>
      </c>
      <c r="E21" s="35" t="s">
        <v>116</v>
      </c>
      <c r="F21" s="35" t="s">
        <v>117</v>
      </c>
      <c r="G21" s="35" t="s">
        <v>130</v>
      </c>
      <c r="H21" s="35"/>
      <c r="I21" s="35" t="s">
        <v>9</v>
      </c>
      <c r="J21" s="35" t="s">
        <v>127</v>
      </c>
    </row>
    <row r="22" spans="2:10" ht="15.75" customHeight="1" x14ac:dyDescent="0.25">
      <c r="C22" s="36" t="s">
        <v>15</v>
      </c>
      <c r="G22" s="36" t="s">
        <v>16</v>
      </c>
      <c r="I22" s="36"/>
      <c r="J22" s="36" t="s">
        <v>17</v>
      </c>
    </row>
    <row r="23" spans="2:10" ht="15.75" customHeight="1" x14ac:dyDescent="0.25">
      <c r="B23" s="37" t="s">
        <v>36</v>
      </c>
      <c r="C23" s="43" t="s">
        <v>131</v>
      </c>
      <c r="D23" s="44"/>
      <c r="E23" s="44"/>
      <c r="F23" s="44"/>
      <c r="G23" s="30" t="s">
        <v>96</v>
      </c>
      <c r="H23" s="37"/>
      <c r="I23" s="37"/>
      <c r="J23" s="38">
        <v>1</v>
      </c>
    </row>
    <row r="24" spans="2:10" ht="15.75" customHeight="1" x14ac:dyDescent="0.25">
      <c r="B24" s="37" t="s">
        <v>37</v>
      </c>
      <c r="C24" s="43" t="s">
        <v>132</v>
      </c>
      <c r="D24" s="44"/>
      <c r="E24" s="44"/>
      <c r="F24" s="44"/>
      <c r="G24" s="30" t="s">
        <v>112</v>
      </c>
      <c r="H24" s="37"/>
      <c r="I24" s="37"/>
      <c r="J24" s="38">
        <v>1</v>
      </c>
    </row>
    <row r="25" spans="2:10" ht="15.75" customHeight="1" x14ac:dyDescent="0.25">
      <c r="B25" s="37" t="s">
        <v>128</v>
      </c>
      <c r="C25" s="43" t="s">
        <v>133</v>
      </c>
      <c r="D25" s="44"/>
      <c r="E25" s="44"/>
      <c r="F25" s="44"/>
      <c r="G25" s="30" t="s">
        <v>96</v>
      </c>
      <c r="H25" s="39"/>
      <c r="I25" s="39"/>
      <c r="J25" s="40">
        <v>1</v>
      </c>
    </row>
    <row r="26" spans="2:10" ht="15.75" customHeight="1" x14ac:dyDescent="0.25">
      <c r="B26" s="37" t="s">
        <v>138</v>
      </c>
      <c r="C26" s="43" t="s">
        <v>134</v>
      </c>
      <c r="D26" s="44"/>
      <c r="E26" s="44"/>
      <c r="F26" s="44"/>
      <c r="G26" s="30" t="s">
        <v>112</v>
      </c>
      <c r="H26" s="39"/>
      <c r="I26" s="39"/>
      <c r="J26" s="40">
        <v>1</v>
      </c>
    </row>
    <row r="27" spans="2:10" ht="15.75" customHeight="1" x14ac:dyDescent="0.25">
      <c r="B27" s="37" t="s">
        <v>139</v>
      </c>
      <c r="C27" s="43" t="s">
        <v>135</v>
      </c>
      <c r="D27" s="44"/>
      <c r="E27" s="44"/>
      <c r="F27" s="44"/>
      <c r="G27" s="30" t="s">
        <v>96</v>
      </c>
      <c r="H27" s="39"/>
      <c r="I27" s="39"/>
      <c r="J27" s="40">
        <v>1</v>
      </c>
    </row>
    <row r="28" spans="2:10" ht="15.75" customHeight="1" x14ac:dyDescent="0.25">
      <c r="B28" s="37" t="s">
        <v>140</v>
      </c>
      <c r="C28" s="43" t="s">
        <v>136</v>
      </c>
      <c r="D28" s="44"/>
      <c r="E28" s="44"/>
      <c r="F28" s="44"/>
      <c r="G28" s="30" t="s">
        <v>113</v>
      </c>
      <c r="H28" s="39"/>
      <c r="I28" s="39"/>
      <c r="J28" s="40" t="s">
        <v>155</v>
      </c>
    </row>
    <row r="29" spans="2:10" ht="15.75" customHeight="1" x14ac:dyDescent="0.25">
      <c r="B29" s="37" t="s">
        <v>141</v>
      </c>
      <c r="C29" s="43" t="s">
        <v>137</v>
      </c>
      <c r="D29" s="44"/>
      <c r="E29" s="44"/>
      <c r="F29" s="44"/>
      <c r="G29" s="30" t="s">
        <v>113</v>
      </c>
      <c r="H29" s="39"/>
      <c r="I29" s="39"/>
      <c r="J29" s="40" t="s">
        <v>155</v>
      </c>
    </row>
    <row r="30" spans="2:10" ht="15.75" customHeight="1" x14ac:dyDescent="0.25"/>
    <row r="31" spans="2:10" ht="15.75" customHeight="1" x14ac:dyDescent="0.25">
      <c r="B31" s="34" t="s">
        <v>10</v>
      </c>
      <c r="C31" s="34" t="s">
        <v>1</v>
      </c>
      <c r="D31" s="34" t="s">
        <v>2</v>
      </c>
      <c r="E31" s="34" t="s">
        <v>11</v>
      </c>
      <c r="F31" s="34" t="s">
        <v>12</v>
      </c>
      <c r="G31" s="34" t="s">
        <v>126</v>
      </c>
      <c r="H31" s="34" t="s">
        <v>5</v>
      </c>
      <c r="I31" s="34" t="s">
        <v>13</v>
      </c>
      <c r="J31" s="34" t="s">
        <v>14</v>
      </c>
    </row>
    <row r="32" spans="2:10" ht="26.4" x14ac:dyDescent="0.25">
      <c r="B32" s="35" t="s">
        <v>120</v>
      </c>
      <c r="C32" s="35" t="s">
        <v>121</v>
      </c>
      <c r="D32" s="35" t="s">
        <v>35</v>
      </c>
      <c r="E32" s="35" t="s">
        <v>142</v>
      </c>
      <c r="F32" s="35" t="s">
        <v>143</v>
      </c>
      <c r="G32" s="35" t="s">
        <v>112</v>
      </c>
      <c r="H32" s="35"/>
      <c r="I32" s="35" t="s">
        <v>81</v>
      </c>
      <c r="J32" s="35" t="s">
        <v>127</v>
      </c>
    </row>
    <row r="33" spans="2:10" ht="15.75" customHeight="1" x14ac:dyDescent="0.25">
      <c r="C33" s="36" t="s">
        <v>15</v>
      </c>
      <c r="G33" s="36" t="s">
        <v>16</v>
      </c>
      <c r="I33" s="36"/>
      <c r="J33" s="36" t="s">
        <v>17</v>
      </c>
    </row>
    <row r="34" spans="2:10" ht="15.75" customHeight="1" x14ac:dyDescent="0.25">
      <c r="B34" s="37" t="s">
        <v>38</v>
      </c>
      <c r="C34" s="43" t="s">
        <v>147</v>
      </c>
      <c r="D34" s="44"/>
      <c r="E34" s="44"/>
      <c r="F34" s="44"/>
      <c r="G34" s="30" t="s">
        <v>96</v>
      </c>
      <c r="H34" s="37"/>
      <c r="I34" s="37"/>
      <c r="J34" s="38">
        <v>2</v>
      </c>
    </row>
    <row r="35" spans="2:10" ht="15.75" customHeight="1" x14ac:dyDescent="0.25">
      <c r="B35" s="37" t="s">
        <v>39</v>
      </c>
      <c r="C35" s="43" t="s">
        <v>148</v>
      </c>
      <c r="D35" s="44"/>
      <c r="E35" s="44"/>
      <c r="F35" s="44"/>
      <c r="G35" s="30" t="s">
        <v>112</v>
      </c>
      <c r="H35" s="37"/>
      <c r="I35" s="37"/>
      <c r="J35" s="38">
        <v>2</v>
      </c>
    </row>
    <row r="36" spans="2:10" ht="15.75" customHeight="1" x14ac:dyDescent="0.25">
      <c r="B36" s="37" t="s">
        <v>129</v>
      </c>
      <c r="C36" s="43" t="s">
        <v>149</v>
      </c>
      <c r="D36" s="44"/>
      <c r="E36" s="44"/>
      <c r="F36" s="44"/>
      <c r="G36" s="30" t="s">
        <v>96</v>
      </c>
      <c r="H36" s="39"/>
      <c r="I36" s="39"/>
      <c r="J36" s="40">
        <v>2</v>
      </c>
    </row>
    <row r="37" spans="2:10" ht="15.75" customHeight="1" x14ac:dyDescent="0.25">
      <c r="B37" s="37" t="s">
        <v>144</v>
      </c>
      <c r="C37" s="43" t="s">
        <v>150</v>
      </c>
      <c r="D37" s="44"/>
      <c r="E37" s="44"/>
      <c r="F37" s="44"/>
      <c r="G37" s="30" t="s">
        <v>112</v>
      </c>
      <c r="H37" s="39"/>
      <c r="I37" s="39"/>
      <c r="J37" s="40">
        <v>2</v>
      </c>
    </row>
    <row r="38" spans="2:10" ht="15.75" customHeight="1" x14ac:dyDescent="0.25">
      <c r="B38" s="37" t="s">
        <v>145</v>
      </c>
      <c r="C38" s="43" t="s">
        <v>151</v>
      </c>
      <c r="D38" s="44"/>
      <c r="E38" s="44"/>
      <c r="F38" s="44"/>
      <c r="G38" s="30" t="s">
        <v>96</v>
      </c>
      <c r="H38" s="39"/>
      <c r="I38" s="39"/>
      <c r="J38" s="40">
        <v>1</v>
      </c>
    </row>
    <row r="39" spans="2:10" ht="15.75" customHeight="1" x14ac:dyDescent="0.25">
      <c r="B39" s="37" t="s">
        <v>146</v>
      </c>
      <c r="C39" s="43" t="s">
        <v>152</v>
      </c>
      <c r="D39" s="44"/>
      <c r="E39" s="44"/>
      <c r="F39" s="44"/>
      <c r="G39" s="30" t="s">
        <v>113</v>
      </c>
      <c r="H39" s="39"/>
      <c r="I39" s="39"/>
      <c r="J39" s="40">
        <v>1</v>
      </c>
    </row>
    <row r="40" spans="2:10" ht="15.75" customHeight="1" x14ac:dyDescent="0.25">
      <c r="G40" s="30"/>
      <c r="J40" s="40"/>
    </row>
    <row r="41" spans="2:10" ht="15.75" customHeight="1" x14ac:dyDescent="0.25">
      <c r="B41" s="37" t="s">
        <v>153</v>
      </c>
    </row>
    <row r="42" spans="2:10" ht="15.75" customHeight="1" x14ac:dyDescent="0.25"/>
    <row r="43" spans="2:10" ht="15.75" customHeight="1" x14ac:dyDescent="0.25">
      <c r="B43" s="34" t="s">
        <v>10</v>
      </c>
      <c r="C43" s="34" t="s">
        <v>1</v>
      </c>
      <c r="D43" s="34" t="s">
        <v>2</v>
      </c>
      <c r="E43" s="34" t="s">
        <v>11</v>
      </c>
      <c r="F43" s="34" t="s">
        <v>12</v>
      </c>
      <c r="G43" s="34" t="s">
        <v>126</v>
      </c>
      <c r="H43" s="34" t="s">
        <v>5</v>
      </c>
      <c r="I43" s="34" t="s">
        <v>13</v>
      </c>
      <c r="J43" s="34" t="s">
        <v>14</v>
      </c>
    </row>
    <row r="44" spans="2:10" ht="26.4" x14ac:dyDescent="0.25">
      <c r="B44" s="35" t="s">
        <v>157</v>
      </c>
      <c r="C44" s="35" t="s">
        <v>159</v>
      </c>
      <c r="D44" s="35" t="s">
        <v>35</v>
      </c>
      <c r="E44" s="35" t="s">
        <v>158</v>
      </c>
      <c r="F44" s="35" t="s">
        <v>160</v>
      </c>
      <c r="G44" s="35" t="s">
        <v>113</v>
      </c>
      <c r="H44" s="35"/>
      <c r="I44" s="35" t="s">
        <v>81</v>
      </c>
      <c r="J44" s="35" t="s">
        <v>127</v>
      </c>
    </row>
    <row r="45" spans="2:10" ht="15.75" customHeight="1" x14ac:dyDescent="0.25">
      <c r="C45" s="36" t="s">
        <v>15</v>
      </c>
      <c r="G45" s="36" t="s">
        <v>16</v>
      </c>
      <c r="I45" s="36"/>
      <c r="J45" s="36" t="s">
        <v>17</v>
      </c>
    </row>
    <row r="46" spans="2:10" ht="15.75" customHeight="1" x14ac:dyDescent="0.25">
      <c r="B46" s="37" t="s">
        <v>38</v>
      </c>
      <c r="C46" s="43" t="s">
        <v>162</v>
      </c>
      <c r="D46" s="44"/>
      <c r="E46" s="44"/>
      <c r="F46" s="44"/>
      <c r="G46" s="30" t="s">
        <v>96</v>
      </c>
      <c r="H46" s="37"/>
      <c r="I46" s="37"/>
      <c r="J46" s="38">
        <v>2</v>
      </c>
    </row>
    <row r="47" spans="2:10" ht="15.75" customHeight="1" x14ac:dyDescent="0.25">
      <c r="B47" s="37" t="s">
        <v>39</v>
      </c>
      <c r="C47" s="43" t="s">
        <v>163</v>
      </c>
      <c r="D47" s="44"/>
      <c r="E47" s="44"/>
      <c r="F47" s="44"/>
      <c r="G47" s="30" t="s">
        <v>112</v>
      </c>
      <c r="H47" s="37"/>
      <c r="I47" s="37"/>
      <c r="J47" s="38">
        <v>2</v>
      </c>
    </row>
    <row r="48" spans="2:10" ht="15.75" customHeight="1" x14ac:dyDescent="0.25">
      <c r="B48" s="37" t="s">
        <v>129</v>
      </c>
      <c r="C48" s="43" t="s">
        <v>164</v>
      </c>
      <c r="D48" s="44"/>
      <c r="E48" s="44"/>
      <c r="F48" s="44"/>
      <c r="G48" s="30" t="s">
        <v>113</v>
      </c>
      <c r="H48" s="39"/>
      <c r="I48" s="39"/>
      <c r="J48" s="40">
        <v>3</v>
      </c>
    </row>
    <row r="49" spans="2:10" ht="15.75" customHeight="1" x14ac:dyDescent="0.25">
      <c r="B49" s="37" t="s">
        <v>144</v>
      </c>
      <c r="C49" s="43" t="s">
        <v>165</v>
      </c>
      <c r="D49" s="44"/>
      <c r="E49" s="44"/>
      <c r="F49" s="44"/>
      <c r="G49" s="30" t="s">
        <v>96</v>
      </c>
      <c r="H49" s="39"/>
      <c r="I49" s="39"/>
      <c r="J49" s="40">
        <v>2</v>
      </c>
    </row>
    <row r="50" spans="2:10" ht="15.75" customHeight="1" x14ac:dyDescent="0.25">
      <c r="B50" s="37" t="s">
        <v>145</v>
      </c>
      <c r="C50" s="43" t="s">
        <v>166</v>
      </c>
      <c r="D50" s="44"/>
      <c r="E50" s="44"/>
      <c r="F50" s="44"/>
      <c r="G50" s="30" t="s">
        <v>96</v>
      </c>
      <c r="H50" s="39"/>
      <c r="I50" s="39"/>
      <c r="J50" s="40">
        <v>2</v>
      </c>
    </row>
    <row r="51" spans="2:10" ht="15.75" customHeight="1" x14ac:dyDescent="0.25">
      <c r="B51" s="37" t="s">
        <v>146</v>
      </c>
      <c r="C51" s="43" t="s">
        <v>167</v>
      </c>
      <c r="D51" s="44"/>
      <c r="E51" s="44"/>
      <c r="F51" s="44"/>
      <c r="G51" s="30" t="s">
        <v>112</v>
      </c>
      <c r="H51" s="39"/>
      <c r="I51" s="39"/>
      <c r="J51" s="40">
        <v>2</v>
      </c>
    </row>
    <row r="52" spans="2:10" ht="15.75" customHeight="1" x14ac:dyDescent="0.25"/>
    <row r="53" spans="2:10" ht="15.75" customHeight="1" x14ac:dyDescent="0.25"/>
    <row r="54" spans="2:10" ht="15.75" customHeight="1" x14ac:dyDescent="0.25"/>
    <row r="55" spans="2:10" ht="15.75" customHeight="1" x14ac:dyDescent="0.25"/>
    <row r="56" spans="2:10" ht="15.75" customHeight="1" x14ac:dyDescent="0.25"/>
    <row r="57" spans="2:10" ht="15.75" customHeight="1" x14ac:dyDescent="0.25"/>
    <row r="58" spans="2:10" ht="15.75" customHeight="1" x14ac:dyDescent="0.25"/>
    <row r="59" spans="2:10" ht="15.75" customHeight="1" x14ac:dyDescent="0.25"/>
    <row r="60" spans="2:10" ht="15.75" customHeight="1" x14ac:dyDescent="0.25"/>
    <row r="61" spans="2:10" ht="15.75" customHeight="1" x14ac:dyDescent="0.25"/>
    <row r="62" spans="2:10" ht="15.75" customHeight="1" x14ac:dyDescent="0.25"/>
    <row r="63" spans="2:10" ht="15.75" customHeight="1" x14ac:dyDescent="0.25"/>
    <row r="64" spans="2:10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</sheetData>
  <mergeCells count="28">
    <mergeCell ref="D12:F12"/>
    <mergeCell ref="D6:F6"/>
    <mergeCell ref="D7:F7"/>
    <mergeCell ref="D8:F8"/>
    <mergeCell ref="D10:F10"/>
    <mergeCell ref="D11:F11"/>
    <mergeCell ref="C37:F37"/>
    <mergeCell ref="C38:F38"/>
    <mergeCell ref="D14:F14"/>
    <mergeCell ref="D15:F15"/>
    <mergeCell ref="D16:F16"/>
    <mergeCell ref="C36:F36"/>
    <mergeCell ref="C26:F26"/>
    <mergeCell ref="C27:F27"/>
    <mergeCell ref="C28:F28"/>
    <mergeCell ref="C29:F29"/>
    <mergeCell ref="C23:F23"/>
    <mergeCell ref="C24:F24"/>
    <mergeCell ref="C25:F25"/>
    <mergeCell ref="C34:F34"/>
    <mergeCell ref="C35:F35"/>
    <mergeCell ref="C50:F50"/>
    <mergeCell ref="C51:F51"/>
    <mergeCell ref="C39:F39"/>
    <mergeCell ref="C46:F46"/>
    <mergeCell ref="C47:F47"/>
    <mergeCell ref="C48:F48"/>
    <mergeCell ref="C49:F49"/>
  </mergeCells>
  <phoneticPr fontId="4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H986"/>
  <sheetViews>
    <sheetView topLeftCell="A2" zoomScale="76" zoomScaleNormal="100" workbookViewId="0">
      <selection activeCell="W38" sqref="W38"/>
    </sheetView>
  </sheetViews>
  <sheetFormatPr baseColWidth="10" defaultColWidth="12.5546875" defaultRowHeight="15" customHeight="1" x14ac:dyDescent="0.25"/>
  <cols>
    <col min="1" max="1" width="12.44140625" customWidth="1"/>
    <col min="2" max="2" width="24.5546875" customWidth="1"/>
    <col min="3" max="26" width="12.44140625" customWidth="1"/>
  </cols>
  <sheetData>
    <row r="1" spans="1:34" ht="15.75" customHeight="1" x14ac:dyDescent="0.25"/>
    <row r="2" spans="1:34" ht="15.75" customHeight="1" x14ac:dyDescent="0.25"/>
    <row r="3" spans="1:34" ht="15.75" customHeight="1" x14ac:dyDescent="0.25">
      <c r="B3" s="3"/>
      <c r="C3" s="3" t="s">
        <v>17</v>
      </c>
      <c r="D3" s="3" t="s">
        <v>67</v>
      </c>
      <c r="E3" s="3" t="s">
        <v>66</v>
      </c>
      <c r="F3" s="3" t="s">
        <v>65</v>
      </c>
      <c r="G3" s="3" t="s">
        <v>64</v>
      </c>
      <c r="H3" s="3" t="s">
        <v>63</v>
      </c>
      <c r="I3" s="3" t="s">
        <v>62</v>
      </c>
      <c r="J3" s="3" t="s">
        <v>61</v>
      </c>
      <c r="K3" s="3" t="s">
        <v>60</v>
      </c>
      <c r="L3" s="3" t="s">
        <v>59</v>
      </c>
      <c r="M3" s="3" t="s">
        <v>58</v>
      </c>
      <c r="N3" s="3" t="s">
        <v>57</v>
      </c>
      <c r="O3" s="3" t="s">
        <v>54</v>
      </c>
      <c r="P3" s="3" t="s">
        <v>53</v>
      </c>
      <c r="Q3" s="3" t="s">
        <v>52</v>
      </c>
      <c r="R3" s="3" t="s">
        <v>51</v>
      </c>
      <c r="S3" s="3" t="s">
        <v>50</v>
      </c>
      <c r="T3" s="3" t="s">
        <v>49</v>
      </c>
      <c r="U3" s="3" t="s">
        <v>48</v>
      </c>
      <c r="V3" s="3" t="s">
        <v>47</v>
      </c>
      <c r="W3" s="3" t="s">
        <v>46</v>
      </c>
      <c r="X3" s="3" t="s">
        <v>45</v>
      </c>
      <c r="Y3" s="3" t="s">
        <v>44</v>
      </c>
      <c r="Z3" s="3" t="s">
        <v>43</v>
      </c>
      <c r="AA3" s="29" t="s">
        <v>42</v>
      </c>
      <c r="AB3" s="29" t="s">
        <v>41</v>
      </c>
      <c r="AC3" s="29" t="s">
        <v>21</v>
      </c>
      <c r="AD3" s="29" t="s">
        <v>22</v>
      </c>
      <c r="AE3" s="29" t="s">
        <v>23</v>
      </c>
      <c r="AF3" s="29" t="s">
        <v>24</v>
      </c>
      <c r="AG3" s="29" t="s">
        <v>25</v>
      </c>
      <c r="AH3" s="3" t="s">
        <v>26</v>
      </c>
    </row>
    <row r="4" spans="1:34" ht="15.75" customHeight="1" x14ac:dyDescent="0.25">
      <c r="B4" s="2" t="s">
        <v>18</v>
      </c>
      <c r="C4" s="5">
        <v>5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1</v>
      </c>
      <c r="AB4" s="4">
        <v>0</v>
      </c>
      <c r="AC4" s="4">
        <v>1</v>
      </c>
      <c r="AD4" s="4">
        <v>1</v>
      </c>
      <c r="AE4" s="4">
        <v>1</v>
      </c>
      <c r="AF4" s="4">
        <v>1</v>
      </c>
      <c r="AG4" s="4">
        <v>0</v>
      </c>
      <c r="AH4" s="6">
        <f>SUM(D4:AG4)</f>
        <v>5</v>
      </c>
    </row>
    <row r="5" spans="1:34" ht="15.75" customHeight="1" x14ac:dyDescent="0.25">
      <c r="B5" s="2" t="s">
        <v>19</v>
      </c>
      <c r="C5" s="5">
        <v>3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1</v>
      </c>
      <c r="AB5" s="4">
        <v>1</v>
      </c>
      <c r="AC5" s="4">
        <v>0</v>
      </c>
      <c r="AD5" s="4">
        <v>0</v>
      </c>
      <c r="AE5" s="4">
        <v>1</v>
      </c>
      <c r="AF5" s="4">
        <v>0</v>
      </c>
      <c r="AG5" s="4">
        <v>0</v>
      </c>
      <c r="AH5" s="6">
        <f>SUM(D5:AG5)</f>
        <v>3</v>
      </c>
    </row>
    <row r="6" spans="1:34" ht="15.75" customHeight="1" x14ac:dyDescent="0.25">
      <c r="A6" s="3"/>
      <c r="B6" s="2" t="s">
        <v>20</v>
      </c>
      <c r="C6" s="5">
        <v>3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1</v>
      </c>
      <c r="Z6" s="4">
        <v>1</v>
      </c>
      <c r="AA6" s="4">
        <v>1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6">
        <f>SUM(D6:AG6)</f>
        <v>3</v>
      </c>
    </row>
    <row r="7" spans="1:34" ht="15.75" customHeight="1" x14ac:dyDescent="0.25"/>
    <row r="8" spans="1:34" ht="15.75" customHeight="1" x14ac:dyDescent="0.25">
      <c r="B8" s="2" t="s">
        <v>29</v>
      </c>
      <c r="C8" s="5">
        <v>5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1</v>
      </c>
      <c r="AA8" s="4">
        <v>1</v>
      </c>
      <c r="AB8" s="4">
        <v>1</v>
      </c>
      <c r="AC8" s="4">
        <v>1</v>
      </c>
      <c r="AD8" s="4">
        <v>0</v>
      </c>
      <c r="AE8" s="4">
        <v>0</v>
      </c>
      <c r="AF8" s="4">
        <v>1</v>
      </c>
      <c r="AG8" s="4">
        <v>0</v>
      </c>
      <c r="AH8" s="6">
        <f>SUM(D8:AG8)</f>
        <v>5</v>
      </c>
    </row>
    <row r="9" spans="1:34" ht="15.75" customHeight="1" x14ac:dyDescent="0.25">
      <c r="B9" s="2" t="s">
        <v>30</v>
      </c>
      <c r="C9" s="5">
        <v>5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1</v>
      </c>
      <c r="Z9" s="4">
        <v>0</v>
      </c>
      <c r="AA9" s="4">
        <v>0</v>
      </c>
      <c r="AB9" s="4">
        <v>0</v>
      </c>
      <c r="AC9" s="4">
        <v>2</v>
      </c>
      <c r="AD9" s="4">
        <v>1</v>
      </c>
      <c r="AE9" s="4">
        <v>1</v>
      </c>
      <c r="AF9" s="4">
        <v>1</v>
      </c>
      <c r="AG9" s="4">
        <v>0</v>
      </c>
      <c r="AH9" s="6">
        <f>SUM(D9:AG9)</f>
        <v>6</v>
      </c>
    </row>
    <row r="10" spans="1:34" ht="15.75" customHeight="1" x14ac:dyDescent="0.25"/>
    <row r="11" spans="1:34" ht="15.75" customHeight="1" x14ac:dyDescent="0.25">
      <c r="B11" s="2" t="s">
        <v>31</v>
      </c>
      <c r="C11" s="5">
        <v>4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2</v>
      </c>
      <c r="AE11" s="4">
        <v>1</v>
      </c>
      <c r="AF11" s="4">
        <v>0</v>
      </c>
      <c r="AG11" s="4">
        <v>0</v>
      </c>
      <c r="AH11" s="6">
        <f>SUM(D11:AG11)</f>
        <v>3</v>
      </c>
    </row>
    <row r="12" spans="1:34" ht="15.75" customHeight="1" x14ac:dyDescent="0.25">
      <c r="B12" s="2" t="s">
        <v>32</v>
      </c>
      <c r="C12" s="5">
        <v>4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2</v>
      </c>
      <c r="AD12" s="4">
        <v>1</v>
      </c>
      <c r="AE12" s="4">
        <v>0</v>
      </c>
      <c r="AF12" s="4">
        <v>1</v>
      </c>
      <c r="AG12" s="4">
        <v>0</v>
      </c>
      <c r="AH12" s="6">
        <f>SUM(D12:AG12)</f>
        <v>4</v>
      </c>
    </row>
    <row r="13" spans="1:34" ht="15.75" customHeight="1" x14ac:dyDescent="0.25">
      <c r="B13" s="2" t="s">
        <v>33</v>
      </c>
      <c r="C13" s="5">
        <v>4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1</v>
      </c>
      <c r="AA13" s="4">
        <v>0</v>
      </c>
      <c r="AB13" s="4">
        <v>0</v>
      </c>
      <c r="AC13" s="4">
        <v>1</v>
      </c>
      <c r="AD13" s="4">
        <v>0</v>
      </c>
      <c r="AE13" s="4">
        <v>1</v>
      </c>
      <c r="AF13" s="4">
        <v>1</v>
      </c>
      <c r="AG13" s="4">
        <v>0</v>
      </c>
      <c r="AH13" s="6">
        <f>SUM(D13:AG13)</f>
        <v>4</v>
      </c>
    </row>
    <row r="14" spans="1:34" ht="15.75" customHeight="1" x14ac:dyDescent="0.25"/>
    <row r="15" spans="1:34" ht="15.75" customHeight="1" x14ac:dyDescent="0.25">
      <c r="B15" s="2" t="s">
        <v>36</v>
      </c>
      <c r="C15" s="5">
        <v>3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1</v>
      </c>
      <c r="T15" s="4">
        <v>0</v>
      </c>
      <c r="U15" s="4">
        <v>0</v>
      </c>
      <c r="V15" s="4">
        <v>1</v>
      </c>
      <c r="W15" s="4">
        <v>0</v>
      </c>
      <c r="X15" s="4">
        <v>1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1</v>
      </c>
      <c r="AE15" s="4">
        <v>0</v>
      </c>
      <c r="AF15" s="4">
        <v>0</v>
      </c>
      <c r="AG15" s="4">
        <v>0</v>
      </c>
      <c r="AH15" s="6">
        <f>SUM(D15:AG15)</f>
        <v>4</v>
      </c>
    </row>
    <row r="16" spans="1:34" ht="15.75" customHeight="1" x14ac:dyDescent="0.25">
      <c r="B16" s="2" t="s">
        <v>37</v>
      </c>
      <c r="C16" s="5">
        <v>3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1</v>
      </c>
      <c r="S16" s="4">
        <v>0</v>
      </c>
      <c r="T16" s="4">
        <v>0</v>
      </c>
      <c r="U16" s="4">
        <v>1</v>
      </c>
      <c r="V16" s="4">
        <v>0</v>
      </c>
      <c r="W16" s="4">
        <v>0</v>
      </c>
      <c r="X16" s="4">
        <v>1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6">
        <f>SUM(D16:AG16)</f>
        <v>3</v>
      </c>
    </row>
    <row r="17" spans="2:34" ht="15.75" customHeight="1" x14ac:dyDescent="0.25"/>
    <row r="18" spans="2:34" ht="15.75" customHeight="1" x14ac:dyDescent="0.25">
      <c r="B18" s="2" t="s">
        <v>38</v>
      </c>
      <c r="C18" s="5">
        <v>5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1</v>
      </c>
      <c r="Q18" s="4">
        <v>1</v>
      </c>
      <c r="R18" s="4">
        <v>0</v>
      </c>
      <c r="S18" s="4">
        <v>1</v>
      </c>
      <c r="T18" s="4">
        <v>0</v>
      </c>
      <c r="U18" s="4">
        <v>0</v>
      </c>
      <c r="V18" s="4">
        <v>0</v>
      </c>
      <c r="W18" s="4">
        <v>0</v>
      </c>
      <c r="X18" s="4">
        <v>2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6">
        <f>SUM(D18:AG18)</f>
        <v>5</v>
      </c>
    </row>
    <row r="19" spans="2:34" ht="15.75" customHeight="1" x14ac:dyDescent="0.25">
      <c r="B19" s="2" t="s">
        <v>39</v>
      </c>
      <c r="C19" s="5">
        <v>5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2</v>
      </c>
      <c r="S19" s="4">
        <v>0</v>
      </c>
      <c r="T19" s="4">
        <v>1</v>
      </c>
      <c r="U19" s="4">
        <v>0</v>
      </c>
      <c r="V19" s="4">
        <v>0</v>
      </c>
      <c r="W19" s="4">
        <v>1</v>
      </c>
      <c r="X19" s="4">
        <v>1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6">
        <f>SUM(D19:AG19)</f>
        <v>5</v>
      </c>
    </row>
    <row r="20" spans="2:34" ht="15.75" customHeight="1" x14ac:dyDescent="0.25"/>
    <row r="21" spans="2:34" ht="15.75" customHeight="1" x14ac:dyDescent="0.25">
      <c r="B21" s="2" t="s">
        <v>34</v>
      </c>
      <c r="C21" s="5">
        <v>4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1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2</v>
      </c>
      <c r="W21" s="4">
        <v>0</v>
      </c>
      <c r="X21" s="4">
        <v>0</v>
      </c>
      <c r="Y21" s="4">
        <v>1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6">
        <f>SUM(D21:AG21)</f>
        <v>4</v>
      </c>
    </row>
    <row r="22" spans="2:34" ht="15.75" customHeight="1" x14ac:dyDescent="0.25">
      <c r="AH22" s="27"/>
    </row>
    <row r="23" spans="2:34" ht="15.75" customHeight="1" x14ac:dyDescent="0.25">
      <c r="B23" s="2" t="s">
        <v>55</v>
      </c>
      <c r="C23" s="5">
        <v>4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4</v>
      </c>
      <c r="J23" s="4">
        <v>4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6">
        <f t="shared" ref="AH23:AH29" si="0">SUM(D23:AG23)</f>
        <v>8</v>
      </c>
    </row>
    <row r="24" spans="2:34" ht="15.75" customHeight="1" x14ac:dyDescent="0.25">
      <c r="B24" s="2" t="s">
        <v>68</v>
      </c>
      <c r="C24" s="5">
        <v>4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4</v>
      </c>
      <c r="L24">
        <v>4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 s="6">
        <f t="shared" si="0"/>
        <v>8</v>
      </c>
    </row>
    <row r="25" spans="2:34" ht="15.75" customHeight="1" x14ac:dyDescent="0.25">
      <c r="AH25" s="27"/>
    </row>
    <row r="26" spans="2:34" ht="15.75" customHeight="1" x14ac:dyDescent="0.25">
      <c r="B26" s="2" t="s">
        <v>56</v>
      </c>
      <c r="C26" s="5">
        <v>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4</v>
      </c>
      <c r="N26">
        <v>4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 s="6">
        <f t="shared" si="0"/>
        <v>8</v>
      </c>
    </row>
    <row r="27" spans="2:34" ht="15.75" customHeight="1" x14ac:dyDescent="0.25">
      <c r="AH27" s="27"/>
    </row>
    <row r="28" spans="2:34" ht="15.75" customHeight="1" x14ac:dyDescent="0.25">
      <c r="B28" s="7" t="s">
        <v>27</v>
      </c>
      <c r="C28">
        <f>SUM(C4:C26)</f>
        <v>65</v>
      </c>
      <c r="D28" s="3">
        <f t="shared" ref="D28:AF28" si="1">C28-SUM(D4:D6,D8:D9,D11:D13,D15:D16, D18:D19, D21, D23,D24,D26)</f>
        <v>65</v>
      </c>
      <c r="E28" s="3">
        <f t="shared" si="1"/>
        <v>65</v>
      </c>
      <c r="F28" s="3">
        <f t="shared" si="1"/>
        <v>65</v>
      </c>
      <c r="G28" s="3">
        <f t="shared" si="1"/>
        <v>65</v>
      </c>
      <c r="H28" s="3">
        <f t="shared" si="1"/>
        <v>65</v>
      </c>
      <c r="I28" s="3">
        <f t="shared" si="1"/>
        <v>61</v>
      </c>
      <c r="J28" s="3">
        <f t="shared" si="1"/>
        <v>57</v>
      </c>
      <c r="K28" s="3">
        <f t="shared" si="1"/>
        <v>53</v>
      </c>
      <c r="L28" s="3">
        <f t="shared" si="1"/>
        <v>49</v>
      </c>
      <c r="M28" s="3">
        <f t="shared" si="1"/>
        <v>45</v>
      </c>
      <c r="N28" s="3">
        <f t="shared" si="1"/>
        <v>41</v>
      </c>
      <c r="O28" s="3">
        <f t="shared" si="1"/>
        <v>40</v>
      </c>
      <c r="P28" s="3">
        <f t="shared" si="1"/>
        <v>39</v>
      </c>
      <c r="Q28" s="3">
        <f t="shared" si="1"/>
        <v>38</v>
      </c>
      <c r="R28" s="3">
        <f t="shared" si="1"/>
        <v>35</v>
      </c>
      <c r="S28" s="3">
        <f t="shared" si="1"/>
        <v>33</v>
      </c>
      <c r="T28" s="3">
        <f t="shared" si="1"/>
        <v>32</v>
      </c>
      <c r="U28" s="3">
        <f t="shared" si="1"/>
        <v>31</v>
      </c>
      <c r="V28" s="3">
        <f t="shared" si="1"/>
        <v>28</v>
      </c>
      <c r="W28" s="3">
        <f t="shared" si="1"/>
        <v>27</v>
      </c>
      <c r="X28" s="3">
        <f t="shared" si="1"/>
        <v>22</v>
      </c>
      <c r="Y28" s="3">
        <f t="shared" si="1"/>
        <v>19</v>
      </c>
      <c r="Z28" s="3">
        <f t="shared" si="1"/>
        <v>16</v>
      </c>
      <c r="AA28" s="3">
        <f t="shared" si="1"/>
        <v>12</v>
      </c>
      <c r="AB28" s="3">
        <f t="shared" si="1"/>
        <v>10</v>
      </c>
      <c r="AC28" s="3">
        <f t="shared" si="1"/>
        <v>3</v>
      </c>
      <c r="AD28" s="3">
        <f t="shared" si="1"/>
        <v>-3</v>
      </c>
      <c r="AE28" s="3">
        <f t="shared" si="1"/>
        <v>-8</v>
      </c>
      <c r="AF28" s="3">
        <f t="shared" si="1"/>
        <v>-13</v>
      </c>
      <c r="AG28" s="3">
        <f>AF28-SUM(AG4:AG6,AG8:AG9,AG11:AG13,AG15:AG16, AG18:AG19, AG21, AG23,AG24,AG26)</f>
        <v>-13</v>
      </c>
      <c r="AH28" s="6">
        <f t="shared" si="0"/>
        <v>979</v>
      </c>
    </row>
    <row r="29" spans="2:34" ht="15.75" customHeight="1" x14ac:dyDescent="0.25">
      <c r="B29" s="7" t="s">
        <v>28</v>
      </c>
      <c r="C29">
        <f>SUM(C4:C26)</f>
        <v>65</v>
      </c>
      <c r="D29" s="26">
        <f>C29-(SUM($C$4:$C$6,$C$8:$C$9,$C$11:$C$13,$C$15:$C$16,$C$18:$C$19:$C$21,$C23:$C24, $C26)/30)</f>
        <v>62.833333333333336</v>
      </c>
      <c r="E29" s="26">
        <f>D29-(SUM($C$4:$C$6,$C$8:$C$9,$C$11:$C$13,$C$15:$C$16,$C$18:$C$19:$C$21,$C23:$C24, $C26)/30)</f>
        <v>60.666666666666671</v>
      </c>
      <c r="F29" s="26">
        <f>E29-(SUM($C$4:$C$6,$C$8:$C$9,$C$11:$C$13,$C$15:$C$16,$C$18:$C$19:$C$21,$C23:$C24, $C26)/30)</f>
        <v>58.500000000000007</v>
      </c>
      <c r="G29" s="26">
        <f>F29-(SUM($C$4:$C$6,$C$8:$C$9,$C$11:$C$13,$C$15:$C$16,$C$18:$C$19:$C$21,$C23:$C24, $C26)/30)</f>
        <v>56.333333333333343</v>
      </c>
      <c r="H29" s="26">
        <f>G29-(SUM($C$4:$C$6,$C$8:$C$9,$C$11:$C$13,$C$15:$C$16,$C$18:$C$19:$C$21,$C23:$C24, $C26)/30)</f>
        <v>54.166666666666679</v>
      </c>
      <c r="I29" s="26">
        <f>H29-(SUM($C$4:$C$6,$C$8:$C$9,$C$11:$C$13,$C$15:$C$16,$C$18:$C$19:$C$21,$C23:$C24, $C26)/30)</f>
        <v>52.000000000000014</v>
      </c>
      <c r="J29" s="26">
        <f>I29-(SUM($C$4:$C$6,$C$8:$C$9,$C$11:$C$13,$C$15:$C$16,$C$18:$C$19:$C$21,$C23:$C24, $C26)/30)</f>
        <v>49.83333333333335</v>
      </c>
      <c r="K29" s="26">
        <f>J29-(SUM($C$4:$C$6,$C$8:$C$9,$C$11:$C$13,$C$15:$C$16,$C$18:$C$19:$C$21,$C23:$C24, $C26)/30)</f>
        <v>47.666666666666686</v>
      </c>
      <c r="L29" s="26">
        <f>K29-(SUM($C$4:$C$6,$C$8:$C$9,$C$11:$C$13,$C$15:$C$16,$C$18:$C$19:$C$21,$C23:$C24, $C26)/30)</f>
        <v>45.500000000000021</v>
      </c>
      <c r="M29" s="26">
        <f>L29-(SUM($C$4:$C$6,$C$8:$C$9,$C$11:$C$13,$C$15:$C$16,$C$18:$C$19:$C$21,$C23:$C24, $C26)/30)</f>
        <v>43.333333333333357</v>
      </c>
      <c r="N29" s="26">
        <f>M29-(SUM($C$4:$C$6,$C$8:$C$9,$C$11:$C$13,$C$15:$C$16,$C$18:$C$19:$C$21,$C23:$C24, $C26)/30)</f>
        <v>41.166666666666693</v>
      </c>
      <c r="O29" s="26">
        <f>N29-(SUM($C$4:$C$6,$C$8:$C$9,$C$11:$C$13,$C$15:$C$16,$C$18:$C$19:$C$21,$C23:$C24, $C26)/30)</f>
        <v>39.000000000000028</v>
      </c>
      <c r="P29" s="26">
        <f>O29-(SUM($C$4:$C$6,$C$8:$C$9,$C$11:$C$13,$C$15:$C$16,$C$18:$C$19:$C$21,$C23:$C24, $C26)/30)</f>
        <v>36.833333333333364</v>
      </c>
      <c r="Q29" s="26">
        <f>P29-(SUM($C$4:$C$6,$C$8:$C$9,$C$11:$C$13,$C$15:$C$16,$C$18:$C$19:$C$21,$C23:$C24, $C26)/30)</f>
        <v>34.6666666666667</v>
      </c>
      <c r="R29" s="26">
        <f>Q29-(SUM($C$4:$C$6,$C$8:$C$9,$C$11:$C$13,$C$15:$C$16,$C$18:$C$19:$C$21,$C23:$C24, $C26)/30)</f>
        <v>32.500000000000036</v>
      </c>
      <c r="S29" s="26">
        <f>R29-(SUM($C$4:$C$6,$C$8:$C$9,$C$11:$C$13,$C$15:$C$16,$C$18:$C$19:$C$21,$C23:$C24, $C26)/30)</f>
        <v>30.333333333333368</v>
      </c>
      <c r="T29" s="26">
        <f>S29-(SUM($C$4:$C$6,$C$8:$C$9,$C$11:$C$13,$C$15:$C$16,$C$18:$C$19:$C$21,$C23:$C24, $C26)/30)</f>
        <v>28.1666666666667</v>
      </c>
      <c r="U29" s="26">
        <f>T29-(SUM($C$4:$C$6,$C$8:$C$9,$C$11:$C$13,$C$15:$C$16,$C$18:$C$19:$C$21,$C23:$C24, $C26)/30)</f>
        <v>26.000000000000032</v>
      </c>
      <c r="V29" s="26">
        <f>U29-(SUM($C$4:$C$6,$C$8:$C$9,$C$11:$C$13,$C$15:$C$16,$C$18:$C$19:$C$21,$C23:$C24, $C26)/30)</f>
        <v>23.833333333333364</v>
      </c>
      <c r="W29" s="26">
        <f>V29-(SUM($C$4:$C$6,$C$8:$C$9,$C$11:$C$13,$C$15:$C$16,$C$18:$C$19:$C$21,$C23:$C24, $C26)/30)</f>
        <v>21.666666666666696</v>
      </c>
      <c r="X29" s="26">
        <f>W29-(SUM($C$4:$C$6,$C$8:$C$9,$C$11:$C$13,$C$15:$C$16,$C$18:$C$19:$C$21,$C23:$C24, $C26)/30)</f>
        <v>19.500000000000028</v>
      </c>
      <c r="Y29" s="26">
        <f>X29-(SUM($C$4:$C$6,$C$8:$C$9,$C$11:$C$13,$C$15:$C$16,$C$18:$C$19:$C$21,$C23:$C24, $C26)/30)</f>
        <v>17.333333333333361</v>
      </c>
      <c r="Z29" s="26">
        <f>Y29-(SUM($C$4:$C$6,$C$8:$C$9,$C$11:$C$13,$C$15:$C$16,$C$18:$C$19:$C$21,$C23:$C24, $C26)/30)</f>
        <v>15.166666666666694</v>
      </c>
      <c r="AA29" s="26">
        <f>Z29-(SUM($C$4:$C$6,$C$8:$C$9,$C$11:$C$13,$C$15:$C$16,$C$18:$C$19:$C$21,$C23:$C24, $C26)/30)</f>
        <v>13.000000000000028</v>
      </c>
      <c r="AB29" s="26">
        <f>AA29-(SUM($C$4:$C$6,$C$8:$C$9,$C$11:$C$13,$C$15:$C$16,$C$18:$C$19:$C$21,$C23:$C24, $C26)/30)</f>
        <v>10.833333333333362</v>
      </c>
      <c r="AC29" s="26">
        <f>AB29-(SUM($C$4:$C$6,$C$8:$C$9,$C$11:$C$13,$C$15:$C$16,$C$18:$C$19:$C$21,$C23:$C24, $C26)/30)</f>
        <v>8.6666666666666963</v>
      </c>
      <c r="AD29" s="26">
        <f>AC29-(SUM($C$4:$C$6,$C$8:$C$9,$C$11:$C$13,$C$15:$C$16,$C$18:$C$19:$C$21,$C23:$C24, $C26)/30)</f>
        <v>6.5000000000000302</v>
      </c>
      <c r="AE29" s="26">
        <f>AD29-(SUM($C$4:$C$6,$C$8:$C$9,$C$11:$C$13,$C$15:$C$16,$C$18:$C$19:$C$21,$C23:$C24, $C26)/30)</f>
        <v>4.3333333333333641</v>
      </c>
      <c r="AF29" s="26">
        <f>AE29-(SUM($C$4:$C$6,$C$8:$C$9,$C$11:$C$13,$C$15:$C$16,$C$18:$C$19:$C$21,$C23:$C24, $C26)/30)</f>
        <v>2.1666666666666976</v>
      </c>
      <c r="AG29" s="26">
        <f>AF29-(SUM($C$4:$C$6,$C$8:$C$9,$C$11:$C$13,$C$15:$C$16,$C$18:$C$19:$C$21,$C23:$C24, $C26)/30)</f>
        <v>3.1086244689504383E-14</v>
      </c>
      <c r="AH29" s="6">
        <f t="shared" si="0"/>
        <v>942.5000000000008</v>
      </c>
    </row>
    <row r="30" spans="2:34" ht="15.75" customHeight="1" x14ac:dyDescent="0.25"/>
    <row r="31" spans="2:34" ht="15.75" customHeight="1" x14ac:dyDescent="0.25"/>
    <row r="32" spans="2:34" ht="15.75" customHeight="1" x14ac:dyDescent="0.25"/>
    <row r="33" spans="2:9" ht="15.75" customHeight="1" x14ac:dyDescent="0.25">
      <c r="B33" s="19"/>
      <c r="C33" s="20"/>
      <c r="D33" s="20"/>
      <c r="E33" s="20"/>
      <c r="F33" s="20"/>
      <c r="G33" s="20"/>
      <c r="H33" s="20"/>
      <c r="I33" s="21"/>
    </row>
    <row r="34" spans="2:9" ht="15.75" customHeight="1" x14ac:dyDescent="0.25">
      <c r="B34" s="21"/>
      <c r="C34" s="21"/>
      <c r="D34" s="21"/>
      <c r="E34" s="21"/>
      <c r="F34" s="21"/>
      <c r="G34" s="21"/>
      <c r="H34" s="21"/>
      <c r="I34" s="21"/>
    </row>
    <row r="35" spans="2:9" ht="15.75" customHeight="1" x14ac:dyDescent="0.25">
      <c r="B35" s="19"/>
      <c r="C35" s="20"/>
      <c r="D35" s="20"/>
      <c r="E35" s="20"/>
      <c r="F35" s="20"/>
      <c r="G35" s="20"/>
      <c r="H35" s="20"/>
      <c r="I35" s="21"/>
    </row>
    <row r="36" spans="2:9" ht="15.75" customHeight="1" x14ac:dyDescent="0.25">
      <c r="B36" s="19"/>
      <c r="C36" s="20"/>
      <c r="D36" s="20"/>
      <c r="E36" s="20"/>
      <c r="F36" s="20"/>
      <c r="G36" s="20"/>
      <c r="H36" s="20"/>
      <c r="I36" s="21"/>
    </row>
    <row r="37" spans="2:9" ht="15.75" customHeight="1" x14ac:dyDescent="0.25"/>
    <row r="38" spans="2:9" ht="15.75" customHeight="1" x14ac:dyDescent="0.25">
      <c r="B38" s="28"/>
      <c r="C38" s="28"/>
      <c r="D38" s="28"/>
      <c r="E38" s="28"/>
      <c r="F38" s="28"/>
      <c r="G38" s="28"/>
    </row>
    <row r="39" spans="2:9" ht="15.75" customHeight="1" x14ac:dyDescent="0.25">
      <c r="B39" s="28"/>
      <c r="C39" s="28"/>
      <c r="D39" s="28"/>
      <c r="E39" s="28"/>
      <c r="F39" s="28"/>
      <c r="G39" s="28"/>
    </row>
    <row r="40" spans="2:9" ht="15.75" customHeight="1" x14ac:dyDescent="0.25">
      <c r="B40" s="28"/>
      <c r="C40" s="28"/>
      <c r="D40" s="28"/>
      <c r="E40" s="28"/>
      <c r="F40" s="28"/>
      <c r="G40" s="28"/>
    </row>
    <row r="41" spans="2:9" ht="15.75" customHeight="1" x14ac:dyDescent="0.25">
      <c r="B41" s="28"/>
      <c r="C41" s="28"/>
      <c r="D41" s="28"/>
      <c r="E41" s="28"/>
      <c r="F41" s="28"/>
      <c r="G41" s="28"/>
    </row>
    <row r="42" spans="2:9" ht="15.75" customHeight="1" x14ac:dyDescent="0.25">
      <c r="B42" s="28"/>
      <c r="C42" s="28"/>
      <c r="D42" s="28"/>
      <c r="E42" s="28"/>
      <c r="F42" s="28"/>
      <c r="G42" s="28"/>
    </row>
    <row r="43" spans="2:9" ht="15.75" customHeight="1" x14ac:dyDescent="0.25">
      <c r="B43" s="28"/>
      <c r="C43" s="28"/>
      <c r="D43" s="28"/>
      <c r="E43" s="28"/>
      <c r="F43" s="28"/>
      <c r="G43" s="28"/>
    </row>
    <row r="44" spans="2:9" ht="15.75" customHeight="1" x14ac:dyDescent="0.25">
      <c r="B44" s="28"/>
      <c r="C44" s="28"/>
      <c r="D44" s="28"/>
      <c r="E44" s="28"/>
      <c r="F44" s="28"/>
      <c r="G44" s="28"/>
    </row>
    <row r="45" spans="2:9" ht="15.75" customHeight="1" x14ac:dyDescent="0.25">
      <c r="B45" s="28"/>
      <c r="C45" s="28"/>
      <c r="D45" s="28"/>
      <c r="E45" s="28"/>
      <c r="F45" s="28"/>
      <c r="G45" s="28"/>
    </row>
    <row r="46" spans="2:9" ht="15.75" customHeight="1" x14ac:dyDescent="0.25"/>
    <row r="47" spans="2:9" ht="15.75" customHeight="1" x14ac:dyDescent="0.25"/>
    <row r="48" spans="2: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</sheetData>
  <phoneticPr fontId="4" type="noConversion"/>
  <pageMargins left="0.7" right="0.7" top="0.75" bottom="0.75" header="0" footer="0"/>
  <pageSetup orientation="landscape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 0, SPRINT 1 Y SPRINT 2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Matias Intriago</cp:lastModifiedBy>
  <dcterms:created xsi:type="dcterms:W3CDTF">2023-06-05T13:12:31Z</dcterms:created>
  <dcterms:modified xsi:type="dcterms:W3CDTF">2025-12-29T02:44:50Z</dcterms:modified>
</cp:coreProperties>
</file>