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mer\Desktop\BACKLOG\"/>
    </mc:Choice>
  </mc:AlternateContent>
  <xr:revisionPtr revIDLastSave="0" documentId="13_ncr:1_{02CC5926-70A2-4718-94BD-28CE900CC87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<sst xmlns="http://schemas.openxmlformats.org/spreadsheetml/2006/main" count="139" uniqueCount="104">
  <si>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</si>
  <si>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</si>
  <si>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</si>
  <si>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</si>
  <si>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</si>
  <si>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</si>
  <si>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</si>
  <si>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</si>
  <si>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</si>
  <si>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</si>
  <si>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</si>
  <si>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</si>
  <si>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</si>
  <si>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</si>
  <si>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</si>
  <si>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</si>
  <si>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</si>
  <si>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</si>
  <si>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</si>
  <si>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</si>
  <si>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</si>
  <si>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</si>
  <si>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</si>
  <si>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</si>
  <si>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</si>
  <si>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</si>
  <si>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</si>
  <si>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</si>
  <si>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</si>
  <si>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</si>
  <si>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</si>
  <si>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Ingreso por Credenciales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</si>
  <si>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</si>
  <si>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</si>
  <si>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</si>
  <si>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</si>
  <si>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</si>
  <si>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</si>
  <si>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</si>
  <si>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</si>
  <si>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</si>
  <si>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</si>
  <si>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</si>
  <si>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</si>
  <si>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</si>
  <si>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</si>
  <si>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</si>
  <si>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</si>
  <si>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</si>
  <si>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</si>
  <si>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</si>
  <si>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</si>
  <si>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</si>
  <si>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</si>
  <si>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</si>
  <si>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</si>
  <si>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</si>
  <si>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</si>
  <si>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</si>
  <si>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</si>
  <si>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</si>
  <si>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</si>
  <si>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</si>
  <si>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</si>
  <si>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</si>
  <si>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</si>
  <si>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</si>
  <si>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</si>
  <si>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</si>
  <si>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</si>
  <si>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</si>
  <si>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</si>
  <si>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No iniciado</t>
  </si>
  <si>
    <t>REQ002</t>
  </si>
  <si>
    <t>REQ003</t>
  </si>
  <si>
    <t>Autenticación de Administradores</t>
  </si>
  <si>
    <t>Gestionar usuarios con control de permisos</t>
  </si>
  <si>
    <t>Garantizar la seguridad y trazabilidad de accesos</t>
  </si>
  <si>
    <t>REQ002-3</t>
  </si>
  <si>
    <t>Sincronización de Inventario entre Sedes</t>
  </si>
  <si>
    <t>Actualización de datos en tiempo real</t>
  </si>
  <si>
    <t>Evitar descoordinación y duplicidad de información</t>
  </si>
  <si>
    <t xml:space="preserve">No iniciado </t>
  </si>
  <si>
    <t>Optimización del sistema de inventario</t>
  </si>
  <si>
    <t>Mejorar el sistema de inventario permitiendo nuevos métodos de ordenamiento, búsqueda optimizada y comunicación entre sedes</t>
  </si>
  <si>
    <t>Acceder a un inventario más eficiente, ordenado y con funciones avanzadas de búsqueda</t>
  </si>
  <si>
    <t>Autenticación segura con control de permisos</t>
  </si>
  <si>
    <t>Implementar un sistema de autenticación exclusivo con perfiles diferenciados, roles y validación segura</t>
  </si>
  <si>
    <t>Garantizar la trazabilidad, evitar accesos no autorizados y administrar roles confiablemente</t>
  </si>
  <si>
    <t>Sincronización entre sedes del inventario</t>
  </si>
  <si>
    <t>Sincronizar la información entre sedes en tiempo real, garantizando consistencia en todos los puntos de acceso</t>
  </si>
  <si>
    <t>Asegurar que los datos del inventario estén actualizados y correctos en todas las plataformas</t>
  </si>
  <si>
    <t>César Herrera</t>
  </si>
  <si>
    <t>Kelly Montalvo</t>
  </si>
  <si>
    <t>Matias Intriago</t>
  </si>
  <si>
    <t>Diseñar la interfaz de ingreso con campos de usuario/contraseña</t>
  </si>
  <si>
    <t>Implementar la validación de credenciales y rechazo de datos no válidos</t>
  </si>
  <si>
    <t>Realizar pruebas funcionales del módulo de ingreso y registrar errores</t>
  </si>
  <si>
    <t>Implementar módulo de autenticación que valide credenciales de administradores</t>
  </si>
  <si>
    <t>Crear y configurar perfiles jerárquicos (admin general / admin local)</t>
  </si>
  <si>
    <t>Habilitar opciones para activar/desactivar accesos según perfil</t>
  </si>
  <si>
    <t>Implementar función de sincronización que conecte datos de todas las sedes</t>
  </si>
  <si>
    <t>Verificar consistencia de datos en distintos puntos de acceso</t>
  </si>
  <si>
    <t>Registrar logs de sincronización y validar actualizaciones correctas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</si>
</sst>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7" fillId="0" borderId="0" xfId="0" applyFont="1"/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85" zoomScaleNormal="85" workbookViewId="0">
      <selection activeCell="B3" sqref="B3:C5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37.6640625" bestFit="1" customWidth="1"/>
    <col min="5" max="5" width="66" bestFit="1" customWidth="1"/>
    <col min="6" max="6" width="19.21875" customWidth="1"/>
    <col min="7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34" t="s">
        <v>43</v>
      </c>
      <c r="B2" s="34"/>
      <c r="C2" s="34"/>
      <c r="D2" s="34"/>
      <c r="E2" s="34"/>
      <c r="F2" s="34"/>
      <c r="G2" s="34"/>
      <c r="H2" s="34"/>
    </row>
    <row r="3" spans="1:8" ht="39.6" x14ac:dyDescent="0.25">
      <c r="A3" s="15" t="s">
        <v>8</v>
      </c>
      <c r="B3" s="37" t="s">
        <v>83</v>
      </c>
      <c r="C3" s="37" t="s">
        <v>38</v>
      </c>
      <c r="D3" s="36" t="s">
        <v>84</v>
      </c>
      <c r="E3" s="36" t="s">
        <v>85</v>
      </c>
      <c r="G3" t="s">
        <v>11</v>
      </c>
      <c r="H3" t="s">
        <v>72</v>
      </c>
    </row>
    <row r="4" spans="1:8" ht="39.6" x14ac:dyDescent="0.25">
      <c r="A4" s="15" t="s">
        <v>73</v>
      </c>
      <c r="B4" s="37" t="s">
        <v>86</v>
      </c>
      <c r="C4" s="37" t="s">
        <v>38</v>
      </c>
      <c r="D4" s="36" t="s">
        <v>87</v>
      </c>
      <c r="E4" s="36" t="s">
        <v>88</v>
      </c>
      <c r="F4" s="33"/>
      <c r="G4" t="s">
        <v>11</v>
      </c>
      <c r="H4" t="s">
        <v>72</v>
      </c>
    </row>
    <row r="5" spans="1:8" ht="39.6" x14ac:dyDescent="0.25">
      <c r="A5" s="15" t="s">
        <v>74</v>
      </c>
      <c r="B5" s="37" t="s">
        <v>89</v>
      </c>
      <c r="C5" s="37" t="s">
        <v>38</v>
      </c>
      <c r="D5" s="36" t="s">
        <v>90</v>
      </c>
      <c r="E5" s="36" t="s">
        <v>91</v>
      </c>
      <c r="F5" s="33"/>
      <c r="G5" t="s">
        <v>11</v>
      </c>
      <c r="H5" t="s">
        <v>72</v>
      </c>
    </row>
    <row r="6" spans="1:8" s="26" customFormat="1" ht="13.95" customHeight="1" x14ac:dyDescent="0.25">
      <c r="A6" s="15"/>
      <c r="B6" s="15"/>
      <c r="C6" s="15"/>
      <c r="D6" s="16"/>
      <c r="E6" s="15"/>
      <c r="F6" s="17"/>
      <c r="G6" s="15"/>
      <c r="H6" s="15"/>
    </row>
    <row r="7" spans="1:8" ht="15.75" customHeight="1" x14ac:dyDescent="0.25">
      <c r="A7" s="35"/>
      <c r="B7" s="35"/>
      <c r="C7" s="35"/>
      <c r="D7" s="35"/>
      <c r="E7" s="35"/>
      <c r="F7" s="35"/>
      <c r="G7" s="35"/>
      <c r="H7" s="35"/>
    </row>
    <row r="8" spans="1:8" ht="13.2" x14ac:dyDescent="0.25">
      <c r="A8" s="24"/>
      <c r="B8" s="24"/>
      <c r="C8" s="24"/>
      <c r="D8" s="27"/>
      <c r="E8" s="25"/>
      <c r="F8" s="26"/>
      <c r="G8" s="24"/>
      <c r="H8" s="24"/>
    </row>
    <row r="9" spans="1:8" ht="15.75" customHeight="1" x14ac:dyDescent="0.25">
      <c r="A9" s="15"/>
      <c r="B9" s="24"/>
      <c r="C9" s="24"/>
      <c r="D9" s="24"/>
      <c r="E9" s="24"/>
      <c r="F9" s="26"/>
      <c r="G9" s="24"/>
      <c r="H9" s="24"/>
    </row>
    <row r="10" spans="1:8" ht="15.75" customHeight="1" x14ac:dyDescent="0.25">
      <c r="A10" s="35"/>
      <c r="B10" s="35"/>
      <c r="C10" s="35"/>
      <c r="D10" s="35"/>
      <c r="E10" s="35"/>
      <c r="F10" s="35"/>
      <c r="G10" s="35"/>
      <c r="H10" s="35"/>
    </row>
    <row r="11" spans="1:8" ht="15.75" customHeight="1" x14ac:dyDescent="0.25">
      <c r="A11" s="24"/>
      <c r="B11" s="24"/>
      <c r="C11" s="24"/>
      <c r="D11" s="27"/>
      <c r="E11" s="25"/>
      <c r="F11" s="26"/>
      <c r="G11" s="24"/>
      <c r="H11" s="24"/>
    </row>
    <row r="12" spans="1:8" ht="15.75" customHeight="1" x14ac:dyDescent="0.25">
      <c r="A12" s="15"/>
      <c r="B12" s="24"/>
      <c r="C12" s="24"/>
      <c r="D12" s="24"/>
      <c r="E12" s="24"/>
      <c r="F12" s="26"/>
      <c r="G12" s="24"/>
      <c r="H12" s="24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H2"/>
    <mergeCell ref="A7:H7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39"/>
  <sheetViews>
    <sheetView tabSelected="1" zoomScale="85" zoomScaleNormal="85" workbookViewId="0">
      <selection activeCell="I17" sqref="I17"/>
    </sheetView>
  </sheetViews>
  <sheetFormatPr baseColWidth="10" defaultColWidth="12.5546875" defaultRowHeight="15" customHeight="1" x14ac:dyDescent="0.25"/>
  <cols>
    <col min="1" max="2" width="12.44140625" customWidth="1"/>
    <col min="3" max="3" width="34.88671875" bestFit="1" customWidth="1"/>
    <col min="4" max="4" width="18.6640625" customWidth="1"/>
    <col min="5" max="5" width="37.6640625" bestFit="1" customWidth="1"/>
    <col min="6" max="6" width="56.3320312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s="11" customFormat="1" ht="15.75" customHeight="1" x14ac:dyDescent="0.25">
      <c r="B4" s="18" t="s">
        <v>8</v>
      </c>
      <c r="C4" s="18" t="s">
        <v>31</v>
      </c>
      <c r="D4" s="18" t="s">
        <v>38</v>
      </c>
      <c r="E4" s="19" t="s">
        <v>9</v>
      </c>
      <c r="F4" s="18" t="s">
        <v>10</v>
      </c>
      <c r="G4" s="20"/>
      <c r="H4" s="18" t="s">
        <v>11</v>
      </c>
      <c r="I4" s="18" t="s">
        <v>82</v>
      </c>
    </row>
    <row r="5" spans="2:9" s="11" customFormat="1" ht="15.75" customHeight="1" x14ac:dyDescent="0.25">
      <c r="B5" s="10"/>
      <c r="C5" s="12" t="s">
        <v>17</v>
      </c>
      <c r="D5" s="10"/>
      <c r="E5" s="10"/>
      <c r="F5" s="10"/>
      <c r="G5" s="12" t="s">
        <v>18</v>
      </c>
      <c r="H5" s="10"/>
      <c r="I5" s="12" t="s">
        <v>19</v>
      </c>
    </row>
    <row r="6" spans="2:9" s="11" customFormat="1" ht="15.75" customHeight="1" x14ac:dyDescent="0.25">
      <c r="B6" s="10" t="s">
        <v>20</v>
      </c>
      <c r="C6" s="38" t="s">
        <v>95</v>
      </c>
      <c r="D6" s="38"/>
      <c r="E6" s="38"/>
      <c r="F6" s="38"/>
      <c r="G6" s="10" t="s">
        <v>92</v>
      </c>
      <c r="H6" s="10"/>
      <c r="I6" s="14">
        <v>1</v>
      </c>
    </row>
    <row r="7" spans="2:9" s="11" customFormat="1" ht="15.75" customHeight="1" x14ac:dyDescent="0.25">
      <c r="B7" s="10" t="s">
        <v>21</v>
      </c>
      <c r="C7" s="38" t="s">
        <v>96</v>
      </c>
      <c r="D7" s="38"/>
      <c r="E7" s="38"/>
      <c r="F7" s="38"/>
      <c r="G7" s="13" t="s">
        <v>93</v>
      </c>
      <c r="H7" s="10"/>
      <c r="I7" s="14">
        <v>2</v>
      </c>
    </row>
    <row r="8" spans="2:9" s="11" customFormat="1" ht="15.75" customHeight="1" x14ac:dyDescent="0.25">
      <c r="B8" s="10" t="s">
        <v>22</v>
      </c>
      <c r="C8" s="38" t="s">
        <v>97</v>
      </c>
      <c r="D8" s="38"/>
      <c r="E8" s="38"/>
      <c r="F8" s="38"/>
      <c r="G8" s="13" t="s">
        <v>94</v>
      </c>
      <c r="H8" s="10"/>
      <c r="I8" s="10">
        <v>1</v>
      </c>
    </row>
    <row r="9" spans="2:9" ht="15.75" customHeight="1" x14ac:dyDescent="0.25">
      <c r="B9" s="18" t="s">
        <v>73</v>
      </c>
      <c r="C9" s="18" t="s">
        <v>75</v>
      </c>
      <c r="D9" s="18" t="s">
        <v>38</v>
      </c>
      <c r="E9" s="19" t="s">
        <v>76</v>
      </c>
      <c r="F9" s="18" t="s">
        <v>77</v>
      </c>
      <c r="G9" s="20"/>
      <c r="H9" s="18" t="s">
        <v>11</v>
      </c>
      <c r="I9" s="18" t="s">
        <v>82</v>
      </c>
    </row>
    <row r="10" spans="2:9" ht="15.75" customHeight="1" x14ac:dyDescent="0.25">
      <c r="B10" s="32" t="s">
        <v>32</v>
      </c>
      <c r="C10" s="38" t="s">
        <v>98</v>
      </c>
      <c r="D10" s="38"/>
      <c r="E10" s="38"/>
      <c r="F10" s="38"/>
      <c r="G10" s="32" t="s">
        <v>94</v>
      </c>
      <c r="I10">
        <v>3</v>
      </c>
    </row>
    <row r="11" spans="2:9" ht="15.75" customHeight="1" x14ac:dyDescent="0.25">
      <c r="B11" s="32" t="s">
        <v>33</v>
      </c>
      <c r="C11" s="38" t="s">
        <v>99</v>
      </c>
      <c r="D11" s="38"/>
      <c r="E11" s="38"/>
      <c r="F11" s="38"/>
      <c r="G11" s="32" t="s">
        <v>92</v>
      </c>
      <c r="I11">
        <v>1</v>
      </c>
    </row>
    <row r="12" spans="2:9" ht="15.75" customHeight="1" x14ac:dyDescent="0.25">
      <c r="B12" s="32" t="s">
        <v>78</v>
      </c>
      <c r="C12" s="38" t="s">
        <v>100</v>
      </c>
      <c r="D12" s="38"/>
      <c r="E12" s="38"/>
      <c r="F12" s="38"/>
      <c r="G12" s="32" t="s">
        <v>93</v>
      </c>
      <c r="I12">
        <v>1</v>
      </c>
    </row>
    <row r="13" spans="2:9" ht="15.75" customHeight="1" x14ac:dyDescent="0.25">
      <c r="B13" s="18" t="s">
        <v>74</v>
      </c>
      <c r="C13" s="18" t="s">
        <v>79</v>
      </c>
      <c r="D13" s="18" t="s">
        <v>38</v>
      </c>
      <c r="E13" s="19" t="s">
        <v>80</v>
      </c>
      <c r="F13" s="18" t="s">
        <v>81</v>
      </c>
      <c r="G13" s="20"/>
      <c r="H13" s="18" t="s">
        <v>11</v>
      </c>
      <c r="I13" s="18" t="s">
        <v>82</v>
      </c>
    </row>
    <row r="14" spans="2:9" ht="15.75" customHeight="1" x14ac:dyDescent="0.25">
      <c r="B14" s="32" t="s">
        <v>32</v>
      </c>
      <c r="C14" s="38" t="s">
        <v>101</v>
      </c>
      <c r="D14" s="38"/>
      <c r="E14" s="38"/>
      <c r="F14" s="38"/>
      <c r="G14" s="32" t="s">
        <v>93</v>
      </c>
      <c r="I14">
        <v>2</v>
      </c>
    </row>
    <row r="15" spans="2:9" ht="15.75" customHeight="1" x14ac:dyDescent="0.25">
      <c r="B15" s="32" t="s">
        <v>33</v>
      </c>
      <c r="C15" s="38" t="s">
        <v>102</v>
      </c>
      <c r="D15" s="38"/>
      <c r="E15" s="38"/>
      <c r="F15" s="38"/>
      <c r="G15" s="32" t="s">
        <v>94</v>
      </c>
      <c r="I15">
        <v>4</v>
      </c>
    </row>
    <row r="16" spans="2:9" ht="15.75" customHeight="1" x14ac:dyDescent="0.25">
      <c r="B16" s="32" t="s">
        <v>78</v>
      </c>
      <c r="C16" s="38" t="s">
        <v>103</v>
      </c>
      <c r="D16" s="38"/>
      <c r="E16" s="38"/>
      <c r="F16" s="38"/>
      <c r="G16" s="32" t="s">
        <v>92</v>
      </c>
      <c r="I16">
        <v>3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9">
    <mergeCell ref="C14:F14"/>
    <mergeCell ref="C15:F15"/>
    <mergeCell ref="C16:F16"/>
    <mergeCell ref="C7:F7"/>
    <mergeCell ref="C6:F6"/>
    <mergeCell ref="C8:F8"/>
    <mergeCell ref="C10:F10"/>
    <mergeCell ref="C11:F11"/>
    <mergeCell ref="C12:F12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topLeftCell="U1" zoomScale="76" zoomScaleNormal="100" workbookViewId="0">
      <selection activeCell="W38" sqref="W38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19</v>
      </c>
      <c r="D3" s="3" t="s">
        <v>70</v>
      </c>
      <c r="E3" s="3" t="s">
        <v>69</v>
      </c>
      <c r="F3" s="3" t="s">
        <v>68</v>
      </c>
      <c r="G3" s="3" t="s">
        <v>67</v>
      </c>
      <c r="H3" s="3" t="s">
        <v>66</v>
      </c>
      <c r="I3" s="3" t="s">
        <v>65</v>
      </c>
      <c r="J3" s="3" t="s">
        <v>64</v>
      </c>
      <c r="K3" s="3" t="s">
        <v>63</v>
      </c>
      <c r="L3" s="3" t="s">
        <v>62</v>
      </c>
      <c r="M3" s="3" t="s">
        <v>61</v>
      </c>
      <c r="N3" s="3" t="s">
        <v>60</v>
      </c>
      <c r="O3" s="3" t="s">
        <v>57</v>
      </c>
      <c r="P3" s="3" t="s">
        <v>56</v>
      </c>
      <c r="Q3" s="3" t="s">
        <v>55</v>
      </c>
      <c r="R3" s="3" t="s">
        <v>54</v>
      </c>
      <c r="S3" s="3" t="s">
        <v>53</v>
      </c>
      <c r="T3" s="3" t="s">
        <v>52</v>
      </c>
      <c r="U3" s="3" t="s">
        <v>51</v>
      </c>
      <c r="V3" s="3" t="s">
        <v>50</v>
      </c>
      <c r="W3" s="3" t="s">
        <v>49</v>
      </c>
      <c r="X3" s="3" t="s">
        <v>48</v>
      </c>
      <c r="Y3" s="3" t="s">
        <v>47</v>
      </c>
      <c r="Z3" s="3" t="s">
        <v>46</v>
      </c>
      <c r="AA3" s="31" t="s">
        <v>45</v>
      </c>
      <c r="AB3" s="31" t="s">
        <v>44</v>
      </c>
      <c r="AC3" s="31" t="s">
        <v>23</v>
      </c>
      <c r="AD3" s="31" t="s">
        <v>24</v>
      </c>
      <c r="AE3" s="31" t="s">
        <v>25</v>
      </c>
      <c r="AF3" s="31" t="s">
        <v>26</v>
      </c>
      <c r="AG3" s="31" t="s">
        <v>27</v>
      </c>
      <c r="AH3" s="3" t="s">
        <v>28</v>
      </c>
    </row>
    <row r="4" spans="1:34" ht="15.75" customHeight="1" x14ac:dyDescent="0.25">
      <c r="B4" s="2" t="s">
        <v>20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21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22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32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33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34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35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36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39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40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41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42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37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29"/>
    </row>
    <row r="23" spans="2:34" ht="15.75" customHeight="1" x14ac:dyDescent="0.25">
      <c r="B23" s="2" t="s">
        <v>58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5">
      <c r="B24" s="2" t="s">
        <v>71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29"/>
    </row>
    <row r="26" spans="2:34" ht="15.75" customHeight="1" x14ac:dyDescent="0.25">
      <c r="B26" s="2" t="s">
        <v>59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29"/>
    </row>
    <row r="28" spans="2:34" ht="15.75" customHeight="1" x14ac:dyDescent="0.25">
      <c r="B28" s="7" t="s">
        <v>29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30</v>
      </c>
      <c r="C29">
        <f>SUM(C4:C26)</f>
        <v>65</v>
      </c>
      <c r="D29" s="28">
        <f>C29-(SUM($C$4:$C$6,$C$8:$C$9,$C$11:$C$13,$C$15:$C$16,$C$18:$C$19:$C$21,$C23:$C24, $C26)/30)</f>
        <v>62.833333333333336</v>
      </c>
      <c r="E29" s="28">
        <f>D29-(SUM($C$4:$C$6,$C$8:$C$9,$C$11:$C$13,$C$15:$C$16,$C$18:$C$19:$C$21,$C23:$C24, $C26)/30)</f>
        <v>60.666666666666671</v>
      </c>
      <c r="F29" s="28">
        <f>E29-(SUM($C$4:$C$6,$C$8:$C$9,$C$11:$C$13,$C$15:$C$16,$C$18:$C$19:$C$21,$C23:$C24, $C26)/30)</f>
        <v>58.500000000000007</v>
      </c>
      <c r="G29" s="28">
        <f>F29-(SUM($C$4:$C$6,$C$8:$C$9,$C$11:$C$13,$C$15:$C$16,$C$18:$C$19:$C$21,$C23:$C24, $C26)/30)</f>
        <v>56.333333333333343</v>
      </c>
      <c r="H29" s="28">
        <f>G29-(SUM($C$4:$C$6,$C$8:$C$9,$C$11:$C$13,$C$15:$C$16,$C$18:$C$19:$C$21,$C23:$C24, $C26)/30)</f>
        <v>54.166666666666679</v>
      </c>
      <c r="I29" s="28">
        <f>H29-(SUM($C$4:$C$6,$C$8:$C$9,$C$11:$C$13,$C$15:$C$16,$C$18:$C$19:$C$21,$C23:$C24, $C26)/30)</f>
        <v>52.000000000000014</v>
      </c>
      <c r="J29" s="28">
        <f>I29-(SUM($C$4:$C$6,$C$8:$C$9,$C$11:$C$13,$C$15:$C$16,$C$18:$C$19:$C$21,$C23:$C24, $C26)/30)</f>
        <v>49.83333333333335</v>
      </c>
      <c r="K29" s="28">
        <f>J29-(SUM($C$4:$C$6,$C$8:$C$9,$C$11:$C$13,$C$15:$C$16,$C$18:$C$19:$C$21,$C23:$C24, $C26)/30)</f>
        <v>47.666666666666686</v>
      </c>
      <c r="L29" s="28">
        <f>K29-(SUM($C$4:$C$6,$C$8:$C$9,$C$11:$C$13,$C$15:$C$16,$C$18:$C$19:$C$21,$C23:$C24, $C26)/30)</f>
        <v>45.500000000000021</v>
      </c>
      <c r="M29" s="28">
        <f>L29-(SUM($C$4:$C$6,$C$8:$C$9,$C$11:$C$13,$C$15:$C$16,$C$18:$C$19:$C$21,$C23:$C24, $C26)/30)</f>
        <v>43.333333333333357</v>
      </c>
      <c r="N29" s="28">
        <f>M29-(SUM($C$4:$C$6,$C$8:$C$9,$C$11:$C$13,$C$15:$C$16,$C$18:$C$19:$C$21,$C23:$C24, $C26)/30)</f>
        <v>41.166666666666693</v>
      </c>
      <c r="O29" s="28">
        <f>N29-(SUM($C$4:$C$6,$C$8:$C$9,$C$11:$C$13,$C$15:$C$16,$C$18:$C$19:$C$21,$C23:$C24, $C26)/30)</f>
        <v>39.000000000000028</v>
      </c>
      <c r="P29" s="28">
        <f>O29-(SUM($C$4:$C$6,$C$8:$C$9,$C$11:$C$13,$C$15:$C$16,$C$18:$C$19:$C$21,$C23:$C24, $C26)/30)</f>
        <v>36.833333333333364</v>
      </c>
      <c r="Q29" s="28">
        <f>P29-(SUM($C$4:$C$6,$C$8:$C$9,$C$11:$C$13,$C$15:$C$16,$C$18:$C$19:$C$21,$C23:$C24, $C26)/30)</f>
        <v>34.6666666666667</v>
      </c>
      <c r="R29" s="28">
        <f>Q29-(SUM($C$4:$C$6,$C$8:$C$9,$C$11:$C$13,$C$15:$C$16,$C$18:$C$19:$C$21,$C23:$C24, $C26)/30)</f>
        <v>32.500000000000036</v>
      </c>
      <c r="S29" s="28">
        <f>R29-(SUM($C$4:$C$6,$C$8:$C$9,$C$11:$C$13,$C$15:$C$16,$C$18:$C$19:$C$21,$C23:$C24, $C26)/30)</f>
        <v>30.333333333333368</v>
      </c>
      <c r="T29" s="28">
        <f>S29-(SUM($C$4:$C$6,$C$8:$C$9,$C$11:$C$13,$C$15:$C$16,$C$18:$C$19:$C$21,$C23:$C24, $C26)/30)</f>
        <v>28.1666666666667</v>
      </c>
      <c r="U29" s="28">
        <f>T29-(SUM($C$4:$C$6,$C$8:$C$9,$C$11:$C$13,$C$15:$C$16,$C$18:$C$19:$C$21,$C23:$C24, $C26)/30)</f>
        <v>26.000000000000032</v>
      </c>
      <c r="V29" s="28">
        <f>U29-(SUM($C$4:$C$6,$C$8:$C$9,$C$11:$C$13,$C$15:$C$16,$C$18:$C$19:$C$21,$C23:$C24, $C26)/30)</f>
        <v>23.833333333333364</v>
      </c>
      <c r="W29" s="28">
        <f>V29-(SUM($C$4:$C$6,$C$8:$C$9,$C$11:$C$13,$C$15:$C$16,$C$18:$C$19:$C$21,$C23:$C24, $C26)/30)</f>
        <v>21.666666666666696</v>
      </c>
      <c r="X29" s="28">
        <f>W29-(SUM($C$4:$C$6,$C$8:$C$9,$C$11:$C$13,$C$15:$C$16,$C$18:$C$19:$C$21,$C23:$C24, $C26)/30)</f>
        <v>19.500000000000028</v>
      </c>
      <c r="Y29" s="28">
        <f>X29-(SUM($C$4:$C$6,$C$8:$C$9,$C$11:$C$13,$C$15:$C$16,$C$18:$C$19:$C$21,$C23:$C24, $C26)/30)</f>
        <v>17.333333333333361</v>
      </c>
      <c r="Z29" s="28">
        <f>Y29-(SUM($C$4:$C$6,$C$8:$C$9,$C$11:$C$13,$C$15:$C$16,$C$18:$C$19:$C$21,$C23:$C24, $C26)/30)</f>
        <v>15.166666666666694</v>
      </c>
      <c r="AA29" s="28">
        <f>Z29-(SUM($C$4:$C$6,$C$8:$C$9,$C$11:$C$13,$C$15:$C$16,$C$18:$C$19:$C$21,$C23:$C24, $C26)/30)</f>
        <v>13.000000000000028</v>
      </c>
      <c r="AB29" s="28">
        <f>AA29-(SUM($C$4:$C$6,$C$8:$C$9,$C$11:$C$13,$C$15:$C$16,$C$18:$C$19:$C$21,$C23:$C24, $C26)/30)</f>
        <v>10.833333333333362</v>
      </c>
      <c r="AC29" s="28">
        <f>AB29-(SUM($C$4:$C$6,$C$8:$C$9,$C$11:$C$13,$C$15:$C$16,$C$18:$C$19:$C$21,$C23:$C24, $C26)/30)</f>
        <v>8.6666666666666963</v>
      </c>
      <c r="AD29" s="28">
        <f>AC29-(SUM($C$4:$C$6,$C$8:$C$9,$C$11:$C$13,$C$15:$C$16,$C$18:$C$19:$C$21,$C23:$C24, $C26)/30)</f>
        <v>6.5000000000000302</v>
      </c>
      <c r="AE29" s="28">
        <f>AD29-(SUM($C$4:$C$6,$C$8:$C$9,$C$11:$C$13,$C$15:$C$16,$C$18:$C$19:$C$21,$C23:$C24, $C26)/30)</f>
        <v>4.3333333333333641</v>
      </c>
      <c r="AF29" s="28">
        <f>AE29-(SUM($C$4:$C$6,$C$8:$C$9,$C$11:$C$13,$C$15:$C$16,$C$18:$C$19:$C$21,$C23:$C24, $C26)/30)</f>
        <v>2.1666666666666976</v>
      </c>
      <c r="AG29" s="28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9" ht="15.75" customHeight="1" x14ac:dyDescent="0.25">
      <c r="B33" s="21"/>
      <c r="C33" s="22"/>
      <c r="D33" s="22"/>
      <c r="E33" s="22"/>
      <c r="F33" s="22"/>
      <c r="G33" s="22"/>
      <c r="H33" s="22"/>
      <c r="I33" s="23"/>
    </row>
    <row r="34" spans="2:9" ht="15.75" customHeight="1" x14ac:dyDescent="0.25">
      <c r="B34" s="23"/>
      <c r="C34" s="23"/>
      <c r="D34" s="23"/>
      <c r="E34" s="23"/>
      <c r="F34" s="23"/>
      <c r="G34" s="23"/>
      <c r="H34" s="23"/>
      <c r="I34" s="23"/>
    </row>
    <row r="35" spans="2:9" ht="15.75" customHeight="1" x14ac:dyDescent="0.25">
      <c r="B35" s="21"/>
      <c r="C35" s="22"/>
      <c r="D35" s="22"/>
      <c r="E35" s="22"/>
      <c r="F35" s="22"/>
      <c r="G35" s="22"/>
      <c r="H35" s="22"/>
      <c r="I35" s="23"/>
    </row>
    <row r="36" spans="2:9" ht="15.75" customHeight="1" x14ac:dyDescent="0.25">
      <c r="B36" s="21"/>
      <c r="C36" s="22"/>
      <c r="D36" s="22"/>
      <c r="E36" s="22"/>
      <c r="F36" s="22"/>
      <c r="G36" s="22"/>
      <c r="H36" s="22"/>
      <c r="I36" s="23"/>
    </row>
    <row r="37" spans="2:9" ht="15.75" customHeight="1" x14ac:dyDescent="0.25"/>
    <row r="38" spans="2:9" ht="15.75" customHeight="1" x14ac:dyDescent="0.25">
      <c r="B38" s="30"/>
      <c r="C38" s="30"/>
      <c r="D38" s="30"/>
      <c r="E38" s="30"/>
      <c r="F38" s="30"/>
      <c r="G38" s="30"/>
    </row>
    <row r="39" spans="2:9" ht="15.75" customHeight="1" x14ac:dyDescent="0.25">
      <c r="B39" s="30"/>
      <c r="C39" s="30"/>
      <c r="D39" s="30"/>
      <c r="E39" s="30"/>
      <c r="F39" s="30"/>
      <c r="G39" s="30"/>
    </row>
    <row r="40" spans="2:9" ht="15.75" customHeight="1" x14ac:dyDescent="0.25">
      <c r="B40" s="30"/>
      <c r="C40" s="30"/>
      <c r="D40" s="30"/>
      <c r="E40" s="30"/>
      <c r="F40" s="30"/>
      <c r="G40" s="30"/>
    </row>
    <row r="41" spans="2:9" ht="15.75" customHeight="1" x14ac:dyDescent="0.25">
      <c r="B41" s="30"/>
      <c r="C41" s="30"/>
      <c r="D41" s="30"/>
      <c r="E41" s="30"/>
      <c r="F41" s="30"/>
      <c r="G41" s="30"/>
    </row>
    <row r="42" spans="2:9" ht="15.75" customHeight="1" x14ac:dyDescent="0.25">
      <c r="B42" s="30"/>
      <c r="C42" s="30"/>
      <c r="D42" s="30"/>
      <c r="E42" s="30"/>
      <c r="F42" s="30"/>
      <c r="G42" s="30"/>
    </row>
    <row r="43" spans="2:9" ht="15.75" customHeight="1" x14ac:dyDescent="0.25">
      <c r="B43" s="30"/>
      <c r="C43" s="30"/>
      <c r="D43" s="30"/>
      <c r="E43" s="30"/>
      <c r="F43" s="30"/>
      <c r="G43" s="30"/>
    </row>
    <row r="44" spans="2:9" ht="15.75" customHeight="1" x14ac:dyDescent="0.25">
      <c r="B44" s="30"/>
      <c r="C44" s="30"/>
      <c r="D44" s="30"/>
      <c r="E44" s="30"/>
      <c r="F44" s="30"/>
      <c r="G44" s="30"/>
    </row>
    <row r="45" spans="2:9" ht="15.75" customHeight="1" x14ac:dyDescent="0.25">
      <c r="B45" s="30"/>
      <c r="C45" s="30"/>
      <c r="D45" s="30"/>
      <c r="E45" s="30"/>
      <c r="F45" s="30"/>
      <c r="G45" s="30"/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César Herrera Ramírez</cp:lastModifiedBy>
  <dcterms:created xsi:type="dcterms:W3CDTF">2023-06-05T13:12:31Z</dcterms:created>
  <dcterms:modified xsi:type="dcterms:W3CDTF">2025-11-25T20:25:00Z</dcterms:modified>
</cp:coreProperties>
</file>