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tia_myo4ct1\Downloads\"/>
    </mc:Choice>
  </mc:AlternateContent>
  <xr:revisionPtr revIDLastSave="0" documentId="13_ncr:1_{8D8A16D7-013F-4793-8298-92389525DAC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pha2uaOy/wcoMqVwyuGnnWnMptigrXLdWpYPvfH+IzU="/>
    </ext>
  </extLst>
</workbook>
</file>

<file path=xl/calcChain.xml><?xml version="1.0" encoding="utf-8"?>
<calcChain xmlns="http://schemas.openxmlformats.org/spreadsheetml/2006/main">
  <c r="M15" i="2" l="1"/>
  <c r="E10" i="2"/>
  <c r="H10" i="2"/>
  <c r="C13" i="2"/>
  <c r="E13" i="2"/>
  <c r="H13" i="2"/>
  <c r="D15" i="2"/>
  <c r="H15" i="2"/>
  <c r="E19" i="2"/>
  <c r="E22" i="2"/>
  <c r="L22" i="2"/>
  <c r="E31" i="2"/>
  <c r="H31" i="2"/>
  <c r="C34" i="2"/>
  <c r="E34" i="2"/>
  <c r="H34" i="2"/>
  <c r="D36" i="2"/>
  <c r="H36" i="2"/>
  <c r="M36" i="2"/>
  <c r="E40" i="2"/>
  <c r="E43" i="2"/>
  <c r="L43" i="2"/>
  <c r="E52" i="2"/>
  <c r="H52" i="2"/>
  <c r="C55" i="2"/>
  <c r="E55" i="2"/>
  <c r="H55" i="2"/>
  <c r="D57" i="2"/>
  <c r="H57" i="2"/>
  <c r="M57" i="2"/>
  <c r="E61" i="2"/>
  <c r="E64" i="2"/>
  <c r="L64" i="2"/>
</calcChain>
</file>

<file path=xl/sharedStrings.xml><?xml version="1.0" encoding="utf-8"?>
<sst xmlns="http://schemas.openxmlformats.org/spreadsheetml/2006/main" count="99" uniqueCount="59">
  <si>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</si>
  <si>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</si>
  <si>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</si>
  <si>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</si>
  <si>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</si>
  <si>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</si>
  <si>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</si>
  <si>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</si>
  <si>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</si>
  <si>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</si>
  <si>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</si>
  <si>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</si>
  <si>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</si>
  <si>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</si>
  <si>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</si>
  <si>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</si>
  <si>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</si>
  <si>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>Matias Intriago</t>
  </si>
  <si>
    <t>Alta</t>
  </si>
  <si>
    <t>No iniciado</t>
  </si>
  <si>
    <t>REQ002</t>
  </si>
  <si>
    <t>Administradores</t>
  </si>
  <si>
    <t>César Herrera</t>
  </si>
  <si>
    <t>REQ003</t>
  </si>
  <si>
    <t>Kelly Montalvo</t>
  </si>
  <si>
    <t>.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</si>
  <si>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</si>
  <si>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</si>
  <si>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</si>
  <si>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</si>
  <si>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</si>
  <si>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</si>
  <si>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</si>
  <si>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</si>
  <si>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</si>
  <si>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</si>
  <si>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</si>
  <si>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</si>
  <si>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</si>
  <si>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</si>
  <si>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c</t>
  </si>
  <si>
    <t>El sistema actual de inventario carece de un control de acceso seguro. No existen perfiles individuales ni mecanismos para habilitar o deshabilitar accesos de administradores.</t>
  </si>
  <si>
    <t>Garantizar la seguridad, y control de accesos dentro del sistema de inventario, evitando manipulaciones no autorizadas y mejorando la gestión administrativa por niveles.</t>
  </si>
  <si>
    <t>Mediante un módulo de autenticación en la que se valide los identificadores de administradores, permita al administrador general crear, editar o deshabilitar perfiles para asegurar un control de acceso confiable y seguro.</t>
  </si>
  <si>
    <t>Verificar que solo administradores con credenciales válidas pueden acceder al sistema. Probar inicio de sesión con usuario y contraseña correctos, incorrectos y con un usuario deshabilitado (debe negar el acceso). Comprobar que el administrador general puede crear, editar y desactivar perfiles, y que dichas acciones quedan registradas en un historial (usuario, fecha, hora y acción). Confirmar que un usuario desactivado no puede volver a acceder ni realizar operaciones en el sistema.</t>
  </si>
  <si>
    <t xml:space="preserve">Categorización de productos en el inventario </t>
  </si>
  <si>
    <t xml:space="preserve">Roles administrativos </t>
  </si>
  <si>
    <t>El sistema actual de inventario no posee una categorización adecuada para los productos (medicinas), dificultando su ordenamiento, búsqueda y gestión eficiente dentro del inventario.</t>
  </si>
  <si>
    <t>Para mejorar la velocidad, precisión y eficiencia en la gestión y localización de productos dentro del inventario.</t>
  </si>
  <si>
    <t>Implementar un módulo de gestión de productos que permita crear, asignar y modificar categorías; registrar nuevos productos; actualizar los existentes; y aplicar filtros de búsqueda por criterios como categoría, nombre, precio, lote o disponibilidad.</t>
  </si>
  <si>
    <t>Para verificar este requisito, se comprobará que el sistema permita insertar, modificar, buscar y eliminar productos en la base de datos de manera correcta. Se evaluará que cada producto quede adecuadamente asociado a una categoría válida y que la organización de los elementos siga los criterios establecidos, como categoría, nombre, precio o stock. Además, se realizarán pruebas de búsqueda y filtrado utilizando diferentes combinaciones de datos, así como pruebas con distintos volúmenes de información para validar el rendimiento del sistema. Finalmente, se confirmará con el administrador que la categorización y los filtros cumplen con los requerimientos funcionales establecidos.</t>
  </si>
  <si>
    <t>El sistema de inventario no cuenta con un mecanismo para identificar medicinas próximas a caducar o con stock mínimo, lo que genera pérdidas económicas y desabastecimiento en las sedes.</t>
  </si>
  <si>
    <t>El programa deberá registrar las fechas de caducidad y niveles mínimos de stock para cada medicina, y que le alerte cuando un producto esté por vencer o tenga inventario bajo.</t>
  </si>
  <si>
    <t>El programa deberá organizar los productos mediante categorías claras y filtros de búsqueda avanzados, para facilitar su consulta y administración.</t>
  </si>
  <si>
    <t>El programa deberá implementar un sistema de reconocimiento exclusivo para administradores, con gestión de perfiles que pueda habilitar, crear o desactivar usuarios según los permisos asignados por el administrador en jefe.</t>
  </si>
  <si>
    <t>Para evitar pérdidas por productos vencidos, asegurar la disponibilidad adecuada de medicamentos y mejorar la gestión del inventario.</t>
  </si>
  <si>
    <t>Se implementará un módulo que permita ingresar y editar la fecha de caducidad y el stock mínimo de cada producto. El sistema mostrará alertas visuales o mensajes cuando un producto esté cerca de vencer (por ejemplo, 30 días antes) o cuando su stock esté por debajo del mínimo definido.</t>
  </si>
  <si>
    <t>La verificación del requisito se realizará registrando productos en el sistema con fechas de caducidad próximas y niveles de stock inferiores al mínimo establecido. Se comprobará que el sistema muestre correctamente las alertas visuales o mensajes correspondientes para cada caso. También se evaluará que, al actualizar la fecha de caducidad o la cantidad disponible, las alertas se ajusten automáticamente según los nuevos valores. Finalmente, se validará con el administrador que las alertas cumplen con los requerimientos funcionales y permiten gestionar los productos de forma oportuna.</t>
  </si>
  <si>
    <t>Control de caducidad y alertas de stock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</si>
</sst>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6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"/>
      <scheme val="minor"/>
    </font>
    <font>
      <b/>
      <sz val="11"/>
      <color theme="1"/>
      <name val="Arial"/>
    </font>
    <font>
      <sz val="10"/>
      <color theme="1"/>
      <name val="Calibri"/>
    </font>
    <font>
      <b/>
      <sz val="11"/>
      <color rgb="FFFFFFFF"/>
      <name val="Calibri"/>
    </font>
    <font>
      <b/>
      <sz val="16"/>
      <color theme="0"/>
      <name val="Calibri"/>
    </font>
    <font>
      <sz val="11"/>
      <color theme="0"/>
      <name val="Arial"/>
    </font>
    <font>
      <sz val="12"/>
      <color theme="0"/>
      <name val="Calibri"/>
    </font>
    <font>
      <sz val="11"/>
      <color theme="0"/>
      <name val="Calibri"/>
    </font>
    <font>
      <sz val="9"/>
      <color theme="0"/>
      <name val="Calibri"/>
    </font>
    <font>
      <b/>
      <i/>
      <sz val="12"/>
      <color theme="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B2B2B2"/>
      </top>
      <bottom/>
      <diagonal/>
    </border>
    <border>
      <left style="thin">
        <color rgb="FF000000"/>
      </left>
      <right/>
      <top/>
      <bottom style="thin">
        <color rgb="FFB2B2B2"/>
      </bottom>
      <diagonal/>
    </border>
  </borders>
  <cellStyleXfs count="1">
    <xf numFmtId="0" fontId="0" fillId="0" borderId="0"/>
  </cellStyleXfs>
  <cellXfs count="20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11" fillId="4" borderId="14" xfId="0" applyFont="1" applyFill="1" applyBorder="1"/>
    <xf numFmtId="0" fontId="11" fillId="4" borderId="15" xfId="0" applyFont="1" applyFill="1" applyBorder="1"/>
    <xf numFmtId="0" fontId="16" fillId="0" borderId="0" xfId="0" applyFont="1" applyAlignment="1"/>
    <xf numFmtId="0" fontId="8" fillId="4" borderId="16" xfId="0" applyFont="1" applyFill="1" applyBorder="1" applyAlignment="1">
      <alignment horizontal="left" vertical="center" wrapText="1"/>
    </xf>
    <xf numFmtId="0" fontId="9" fillId="4" borderId="16" xfId="0" applyFont="1" applyFill="1" applyBorder="1"/>
    <xf numFmtId="0" fontId="14" fillId="6" borderId="4" xfId="0" applyFont="1" applyFill="1" applyBorder="1" applyAlignment="1">
      <alignment horizontal="center" vertical="center"/>
    </xf>
    <xf numFmtId="0" fontId="11" fillId="4" borderId="17" xfId="0" applyFont="1" applyFill="1" applyBorder="1"/>
    <xf numFmtId="0" fontId="11" fillId="4" borderId="18" xfId="0" applyFont="1" applyFill="1" applyBorder="1"/>
    <xf numFmtId="0" fontId="11" fillId="4" borderId="19" xfId="0" applyFont="1" applyFill="1" applyBorder="1"/>
    <xf numFmtId="0" fontId="11" fillId="0" borderId="0" xfId="0" applyFont="1" applyAlignment="1"/>
    <xf numFmtId="0" fontId="11" fillId="0" borderId="0" xfId="0" applyFont="1"/>
    <xf numFmtId="0" fontId="11" fillId="4" borderId="16" xfId="0" applyFont="1" applyFill="1" applyBorder="1"/>
    <xf numFmtId="0" fontId="11" fillId="4" borderId="16" xfId="0" applyFont="1" applyFill="1" applyBorder="1" applyAlignment="1"/>
    <xf numFmtId="0" fontId="11" fillId="4" borderId="17" xfId="0" applyFont="1" applyFill="1" applyBorder="1" applyAlignment="1"/>
    <xf numFmtId="0" fontId="11" fillId="4" borderId="18" xfId="0" applyFont="1" applyFill="1" applyBorder="1" applyAlignment="1"/>
    <xf numFmtId="0" fontId="11" fillId="4" borderId="19" xfId="0" applyFont="1" applyFill="1" applyBorder="1" applyAlignment="1"/>
    <xf numFmtId="0" fontId="11" fillId="4" borderId="14" xfId="0" applyFont="1" applyFill="1" applyBorder="1" applyAlignment="1"/>
    <xf numFmtId="0" fontId="11" fillId="4" borderId="20" xfId="0" applyFont="1" applyFill="1" applyBorder="1" applyAlignment="1"/>
    <xf numFmtId="0" fontId="11" fillId="4" borderId="15" xfId="0" applyFont="1" applyFill="1" applyBorder="1" applyAlignment="1"/>
    <xf numFmtId="0" fontId="19" fillId="9" borderId="4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0" fillId="0" borderId="0" xfId="0" applyFont="1" applyAlignment="1"/>
    <xf numFmtId="0" fontId="7" fillId="3" borderId="17" xfId="0" applyFont="1" applyFill="1" applyBorder="1" applyAlignment="1">
      <alignment horizontal="left"/>
    </xf>
    <xf numFmtId="0" fontId="11" fillId="4" borderId="6" xfId="0" applyFont="1" applyFill="1" applyBorder="1"/>
    <xf numFmtId="0" fontId="11" fillId="4" borderId="7" xfId="0" applyFont="1" applyFill="1" applyBorder="1"/>
    <xf numFmtId="0" fontId="13" fillId="4" borderId="17" xfId="0" applyFont="1" applyFill="1" applyBorder="1" applyAlignment="1">
      <alignment vertical="center"/>
    </xf>
    <xf numFmtId="0" fontId="9" fillId="4" borderId="17" xfId="0" applyFont="1" applyFill="1" applyBorder="1" applyAlignment="1">
      <alignment vertical="center" wrapText="1"/>
    </xf>
    <xf numFmtId="0" fontId="9" fillId="4" borderId="17" xfId="0" applyFont="1" applyFill="1" applyBorder="1" applyAlignment="1">
      <alignment vertical="center"/>
    </xf>
    <xf numFmtId="0" fontId="14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/>
    </xf>
    <xf numFmtId="0" fontId="11" fillId="4" borderId="20" xfId="0" applyFont="1" applyFill="1" applyBorder="1"/>
    <xf numFmtId="0" fontId="17" fillId="4" borderId="17" xfId="0" applyFont="1" applyFill="1" applyBorder="1"/>
    <xf numFmtId="0" fontId="8" fillId="4" borderId="17" xfId="0" applyFont="1" applyFill="1" applyBorder="1" applyAlignment="1">
      <alignment horizontal="center" vertical="center"/>
    </xf>
    <xf numFmtId="0" fontId="11" fillId="4" borderId="6" xfId="0" applyFont="1" applyFill="1" applyBorder="1" applyAlignment="1"/>
    <xf numFmtId="0" fontId="11" fillId="4" borderId="7" xfId="0" applyFont="1" applyFill="1" applyBorder="1" applyAlignment="1"/>
    <xf numFmtId="0" fontId="5" fillId="11" borderId="4" xfId="0" applyFont="1" applyFill="1" applyBorder="1" applyAlignment="1">
      <alignment horizontal="center" vertical="center" wrapText="1"/>
    </xf>
    <xf numFmtId="165" fontId="5" fillId="11" borderId="4" xfId="0" applyNumberFormat="1" applyFont="1" applyFill="1" applyBorder="1" applyAlignment="1">
      <alignment horizontal="center" vertical="center" wrapText="1"/>
    </xf>
    <xf numFmtId="49" fontId="5" fillId="11" borderId="4" xfId="0" applyNumberFormat="1" applyFont="1" applyFill="1" applyBorder="1" applyAlignment="1">
      <alignment horizontal="center" vertical="center" wrapText="1"/>
    </xf>
    <xf numFmtId="0" fontId="21" fillId="11" borderId="17" xfId="0" applyFont="1" applyFill="1" applyBorder="1" applyAlignment="1"/>
    <xf numFmtId="0" fontId="23" fillId="11" borderId="17" xfId="0" applyFont="1" applyFill="1" applyBorder="1" applyAlignment="1">
      <alignment wrapText="1"/>
    </xf>
    <xf numFmtId="0" fontId="24" fillId="11" borderId="17" xfId="0" applyFont="1" applyFill="1" applyBorder="1" applyAlignment="1">
      <alignment wrapText="1"/>
    </xf>
    <xf numFmtId="49" fontId="21" fillId="11" borderId="17" xfId="0" applyNumberFormat="1" applyFont="1" applyFill="1" applyBorder="1" applyAlignment="1"/>
    <xf numFmtId="49" fontId="23" fillId="11" borderId="17" xfId="0" applyNumberFormat="1" applyFont="1" applyFill="1" applyBorder="1" applyAlignment="1">
      <alignment wrapText="1"/>
    </xf>
    <xf numFmtId="0" fontId="20" fillId="11" borderId="17" xfId="0" applyFont="1" applyFill="1" applyBorder="1" applyAlignment="1">
      <alignment wrapText="1"/>
    </xf>
    <xf numFmtId="0" fontId="12" fillId="11" borderId="17" xfId="0" applyFont="1" applyFill="1" applyBorder="1" applyAlignment="1"/>
    <xf numFmtId="0" fontId="22" fillId="11" borderId="17" xfId="0" applyFont="1" applyFill="1" applyBorder="1" applyAlignment="1"/>
    <xf numFmtId="0" fontId="23" fillId="11" borderId="17" xfId="0" applyFont="1" applyFill="1" applyBorder="1" applyAlignment="1"/>
    <xf numFmtId="0" fontId="25" fillId="11" borderId="17" xfId="0" applyFont="1" applyFill="1" applyBorder="1" applyAlignment="1"/>
    <xf numFmtId="0" fontId="11" fillId="0" borderId="17" xfId="0" applyFont="1" applyBorder="1" applyAlignment="1"/>
    <xf numFmtId="0" fontId="0" fillId="0" borderId="17" xfId="0" applyFont="1" applyBorder="1" applyAlignment="1"/>
    <xf numFmtId="0" fontId="0" fillId="11" borderId="17" xfId="0" applyFont="1" applyFill="1" applyBorder="1" applyAlignment="1"/>
    <xf numFmtId="0" fontId="5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165" fontId="5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/>
    <xf numFmtId="0" fontId="5" fillId="11" borderId="5" xfId="0" applyFont="1" applyFill="1" applyBorder="1" applyAlignment="1">
      <alignment horizontal="center" vertical="center" wrapText="1"/>
    </xf>
    <xf numFmtId="165" fontId="5" fillId="11" borderId="5" xfId="0" applyNumberFormat="1" applyFont="1" applyFill="1" applyBorder="1" applyAlignment="1">
      <alignment horizontal="center" vertical="center" wrapText="1"/>
    </xf>
    <xf numFmtId="49" fontId="5" fillId="11" borderId="5" xfId="0" applyNumberFormat="1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49" fontId="5" fillId="12" borderId="4" xfId="0" applyNumberFormat="1" applyFont="1" applyFill="1" applyBorder="1" applyAlignment="1">
      <alignment horizontal="center" vertical="center" wrapText="1"/>
    </xf>
    <xf numFmtId="165" fontId="5" fillId="12" borderId="4" xfId="0" applyNumberFormat="1" applyFont="1" applyFill="1" applyBorder="1" applyAlignment="1">
      <alignment horizontal="center" vertical="center" wrapText="1"/>
    </xf>
    <xf numFmtId="14" fontId="5" fillId="12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19" fillId="10" borderId="5" xfId="0" applyFont="1" applyFill="1" applyBorder="1" applyAlignment="1">
      <alignment horizontal="center"/>
    </xf>
    <xf numFmtId="0" fontId="19" fillId="10" borderId="8" xfId="0" applyFont="1" applyFill="1" applyBorder="1" applyAlignment="1">
      <alignment horizontal="center"/>
    </xf>
    <xf numFmtId="0" fontId="19" fillId="10" borderId="9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wrapText="1"/>
    </xf>
    <xf numFmtId="0" fontId="9" fillId="3" borderId="16" xfId="0" applyFont="1" applyFill="1" applyBorder="1" applyAlignment="1">
      <alignment wrapText="1"/>
    </xf>
    <xf numFmtId="0" fontId="9" fillId="3" borderId="7" xfId="0" applyFont="1" applyFill="1" applyBorder="1" applyAlignment="1">
      <alignment wrapText="1"/>
    </xf>
    <xf numFmtId="0" fontId="9" fillId="3" borderId="18" xfId="0" applyFont="1" applyFill="1" applyBorder="1" applyAlignment="1">
      <alignment wrapText="1"/>
    </xf>
    <xf numFmtId="0" fontId="9" fillId="3" borderId="17" xfId="0" applyFont="1" applyFill="1" applyBorder="1" applyAlignment="1">
      <alignment wrapText="1"/>
    </xf>
    <xf numFmtId="0" fontId="9" fillId="3" borderId="19" xfId="0" applyFont="1" applyFill="1" applyBorder="1" applyAlignment="1">
      <alignment wrapText="1"/>
    </xf>
    <xf numFmtId="0" fontId="9" fillId="3" borderId="14" xfId="0" applyFont="1" applyFill="1" applyBorder="1" applyAlignment="1">
      <alignment wrapText="1"/>
    </xf>
    <xf numFmtId="0" fontId="9" fillId="3" borderId="20" xfId="0" applyFont="1" applyFill="1" applyBorder="1" applyAlignment="1">
      <alignment wrapText="1"/>
    </xf>
    <xf numFmtId="0" fontId="9" fillId="3" borderId="15" xfId="0" applyFont="1" applyFill="1" applyBorder="1" applyAlignment="1">
      <alignment wrapText="1"/>
    </xf>
    <xf numFmtId="0" fontId="14" fillId="2" borderId="21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22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 wrapText="1"/>
    </xf>
    <xf numFmtId="0" fontId="9" fillId="3" borderId="16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0" fontId="9" fillId="3" borderId="18" xfId="0" applyFont="1" applyFill="1" applyBorder="1" applyAlignment="1">
      <alignment horizontal="center" wrapText="1"/>
    </xf>
    <xf numFmtId="0" fontId="9" fillId="3" borderId="17" xfId="0" applyFont="1" applyFill="1" applyBorder="1" applyAlignment="1">
      <alignment horizontal="center" wrapText="1"/>
    </xf>
    <xf numFmtId="0" fontId="9" fillId="3" borderId="19" xfId="0" applyFont="1" applyFill="1" applyBorder="1" applyAlignment="1">
      <alignment horizontal="center" wrapText="1"/>
    </xf>
    <xf numFmtId="0" fontId="9" fillId="3" borderId="14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15" xfId="0" applyFont="1" applyFill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9" fillId="9" borderId="6" xfId="0" applyFont="1" applyFill="1" applyBorder="1" applyAlignment="1">
      <alignment horizontal="center"/>
    </xf>
    <xf numFmtId="0" fontId="19" fillId="9" borderId="7" xfId="0" applyFont="1" applyFill="1" applyBorder="1" applyAlignment="1">
      <alignment horizontal="center"/>
    </xf>
    <xf numFmtId="0" fontId="19" fillId="9" borderId="18" xfId="0" applyFont="1" applyFill="1" applyBorder="1" applyAlignment="1">
      <alignment horizontal="center"/>
    </xf>
    <xf numFmtId="0" fontId="19" fillId="9" borderId="19" xfId="0" applyFont="1" applyFill="1" applyBorder="1" applyAlignment="1">
      <alignment horizontal="center"/>
    </xf>
    <xf numFmtId="0" fontId="19" fillId="9" borderId="14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49" fontId="18" fillId="3" borderId="6" xfId="0" applyNumberFormat="1" applyFont="1" applyFill="1" applyBorder="1" applyAlignment="1">
      <alignment wrapText="1"/>
    </xf>
    <xf numFmtId="49" fontId="18" fillId="3" borderId="16" xfId="0" applyNumberFormat="1" applyFont="1" applyFill="1" applyBorder="1" applyAlignment="1">
      <alignment wrapText="1"/>
    </xf>
    <xf numFmtId="49" fontId="18" fillId="3" borderId="7" xfId="0" applyNumberFormat="1" applyFont="1" applyFill="1" applyBorder="1" applyAlignment="1">
      <alignment wrapText="1"/>
    </xf>
    <xf numFmtId="49" fontId="18" fillId="3" borderId="18" xfId="0" applyNumberFormat="1" applyFont="1" applyFill="1" applyBorder="1" applyAlignment="1">
      <alignment wrapText="1"/>
    </xf>
    <xf numFmtId="49" fontId="18" fillId="3" borderId="17" xfId="0" applyNumberFormat="1" applyFont="1" applyFill="1" applyBorder="1" applyAlignment="1">
      <alignment wrapText="1"/>
    </xf>
    <xf numFmtId="49" fontId="18" fillId="3" borderId="19" xfId="0" applyNumberFormat="1" applyFont="1" applyFill="1" applyBorder="1" applyAlignment="1">
      <alignment wrapText="1"/>
    </xf>
    <xf numFmtId="49" fontId="18" fillId="3" borderId="14" xfId="0" applyNumberFormat="1" applyFont="1" applyFill="1" applyBorder="1" applyAlignment="1">
      <alignment wrapText="1"/>
    </xf>
    <xf numFmtId="49" fontId="18" fillId="3" borderId="20" xfId="0" applyNumberFormat="1" applyFont="1" applyFill="1" applyBorder="1" applyAlignment="1">
      <alignment wrapText="1"/>
    </xf>
    <xf numFmtId="49" fontId="18" fillId="3" borderId="15" xfId="0" applyNumberFormat="1" applyFont="1" applyFill="1" applyBorder="1" applyAlignment="1">
      <alignment wrapText="1"/>
    </xf>
    <xf numFmtId="0" fontId="0" fillId="3" borderId="6" xfId="0" applyFont="1" applyFill="1" applyBorder="1" applyAlignment="1">
      <alignment wrapText="1"/>
    </xf>
    <xf numFmtId="0" fontId="0" fillId="3" borderId="16" xfId="0" applyFont="1" applyFill="1" applyBorder="1" applyAlignment="1">
      <alignment wrapText="1"/>
    </xf>
    <xf numFmtId="0" fontId="0" fillId="3" borderId="7" xfId="0" applyFont="1" applyFill="1" applyBorder="1" applyAlignment="1">
      <alignment wrapText="1"/>
    </xf>
    <xf numFmtId="0" fontId="0" fillId="3" borderId="18" xfId="0" applyFont="1" applyFill="1" applyBorder="1" applyAlignment="1">
      <alignment wrapText="1"/>
    </xf>
    <xf numFmtId="0" fontId="0" fillId="3" borderId="17" xfId="0" applyFont="1" applyFill="1" applyBorder="1" applyAlignment="1">
      <alignment wrapText="1"/>
    </xf>
    <xf numFmtId="0" fontId="0" fillId="3" borderId="19" xfId="0" applyFont="1" applyFill="1" applyBorder="1" applyAlignment="1">
      <alignment wrapText="1"/>
    </xf>
    <xf numFmtId="0" fontId="0" fillId="3" borderId="14" xfId="0" applyFont="1" applyFill="1" applyBorder="1" applyAlignment="1">
      <alignment wrapText="1"/>
    </xf>
    <xf numFmtId="0" fontId="0" fillId="3" borderId="20" xfId="0" applyFont="1" applyFill="1" applyBorder="1" applyAlignment="1">
      <alignment wrapText="1"/>
    </xf>
    <xf numFmtId="0" fontId="0" fillId="3" borderId="15" xfId="0" applyFont="1" applyFill="1" applyBorder="1" applyAlignment="1">
      <alignment wrapText="1"/>
    </xf>
    <xf numFmtId="0" fontId="12" fillId="7" borderId="5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left" vertical="center" wrapText="1"/>
    </xf>
    <xf numFmtId="0" fontId="18" fillId="6" borderId="16" xfId="0" applyFont="1" applyFill="1" applyBorder="1" applyAlignment="1">
      <alignment horizontal="left" vertical="center" wrapText="1"/>
    </xf>
    <xf numFmtId="0" fontId="18" fillId="6" borderId="7" xfId="0" applyFont="1" applyFill="1" applyBorder="1" applyAlignment="1">
      <alignment horizontal="left" vertical="center" wrapText="1"/>
    </xf>
    <xf numFmtId="0" fontId="18" fillId="6" borderId="18" xfId="0" applyFont="1" applyFill="1" applyBorder="1" applyAlignment="1">
      <alignment horizontal="left" vertical="center" wrapText="1"/>
    </xf>
    <xf numFmtId="0" fontId="18" fillId="6" borderId="17" xfId="0" applyFont="1" applyFill="1" applyBorder="1" applyAlignment="1">
      <alignment horizontal="left" vertical="center" wrapText="1"/>
    </xf>
    <xf numFmtId="0" fontId="18" fillId="6" borderId="19" xfId="0" applyFont="1" applyFill="1" applyBorder="1" applyAlignment="1">
      <alignment horizontal="left" vertical="center" wrapText="1"/>
    </xf>
    <xf numFmtId="0" fontId="18" fillId="6" borderId="14" xfId="0" applyFont="1" applyFill="1" applyBorder="1" applyAlignment="1">
      <alignment horizontal="left" vertical="center" wrapText="1"/>
    </xf>
    <xf numFmtId="0" fontId="18" fillId="6" borderId="20" xfId="0" applyFont="1" applyFill="1" applyBorder="1" applyAlignment="1">
      <alignment horizontal="left" vertical="center" wrapText="1"/>
    </xf>
    <xf numFmtId="0" fontId="18" fillId="6" borderId="15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left" vertical="center"/>
    </xf>
    <xf numFmtId="0" fontId="9" fillId="6" borderId="16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/>
    </xf>
    <xf numFmtId="0" fontId="9" fillId="6" borderId="18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left" vertical="center"/>
    </xf>
    <xf numFmtId="0" fontId="9" fillId="6" borderId="19" xfId="0" applyFont="1" applyFill="1" applyBorder="1" applyAlignment="1">
      <alignment horizontal="left" vertical="center"/>
    </xf>
    <xf numFmtId="0" fontId="9" fillId="6" borderId="14" xfId="0" applyFont="1" applyFill="1" applyBorder="1" applyAlignment="1">
      <alignment horizontal="left" vertical="center"/>
    </xf>
    <xf numFmtId="0" fontId="9" fillId="6" borderId="20" xfId="0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49" fontId="9" fillId="6" borderId="6" xfId="0" applyNumberFormat="1" applyFont="1" applyFill="1" applyBorder="1" applyAlignment="1">
      <alignment horizontal="left" vertical="center" wrapText="1"/>
    </xf>
    <xf numFmtId="49" fontId="9" fillId="6" borderId="16" xfId="0" applyNumberFormat="1" applyFont="1" applyFill="1" applyBorder="1" applyAlignment="1">
      <alignment horizontal="left" vertical="center" wrapText="1"/>
    </xf>
    <xf numFmtId="49" fontId="9" fillId="6" borderId="7" xfId="0" applyNumberFormat="1" applyFont="1" applyFill="1" applyBorder="1" applyAlignment="1">
      <alignment horizontal="left" vertical="center" wrapText="1"/>
    </xf>
    <xf numFmtId="49" fontId="9" fillId="6" borderId="18" xfId="0" applyNumberFormat="1" applyFont="1" applyFill="1" applyBorder="1" applyAlignment="1">
      <alignment horizontal="left" vertical="center" wrapText="1"/>
    </xf>
    <xf numFmtId="49" fontId="9" fillId="6" borderId="17" xfId="0" applyNumberFormat="1" applyFont="1" applyFill="1" applyBorder="1" applyAlignment="1">
      <alignment horizontal="left" vertical="center" wrapText="1"/>
    </xf>
    <xf numFmtId="49" fontId="9" fillId="6" borderId="19" xfId="0" applyNumberFormat="1" applyFont="1" applyFill="1" applyBorder="1" applyAlignment="1">
      <alignment horizontal="left" vertical="center" wrapText="1"/>
    </xf>
    <xf numFmtId="49" fontId="9" fillId="6" borderId="14" xfId="0" applyNumberFormat="1" applyFont="1" applyFill="1" applyBorder="1" applyAlignment="1">
      <alignment horizontal="left" vertical="center" wrapText="1"/>
    </xf>
    <xf numFmtId="49" fontId="9" fillId="6" borderId="20" xfId="0" applyNumberFormat="1" applyFont="1" applyFill="1" applyBorder="1" applyAlignment="1">
      <alignment horizontal="left" vertical="center" wrapText="1"/>
    </xf>
    <xf numFmtId="49" fontId="9" fillId="6" borderId="15" xfId="0" applyNumberFormat="1" applyFont="1" applyFill="1" applyBorder="1" applyAlignment="1">
      <alignment horizontal="left" vertical="center" wrapText="1"/>
    </xf>
    <xf numFmtId="0" fontId="15" fillId="8" borderId="6" xfId="0" applyFont="1" applyFill="1" applyBorder="1" applyAlignment="1">
      <alignment horizontal="center"/>
    </xf>
    <xf numFmtId="0" fontId="15" fillId="8" borderId="7" xfId="0" applyFont="1" applyFill="1" applyBorder="1" applyAlignment="1">
      <alignment horizontal="center"/>
    </xf>
    <xf numFmtId="0" fontId="15" fillId="8" borderId="14" xfId="0" applyFont="1" applyFill="1" applyBorder="1" applyAlignment="1">
      <alignment horizontal="center"/>
    </xf>
    <xf numFmtId="0" fontId="15" fillId="8" borderId="15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horizontal="center" wrapText="1"/>
    </xf>
    <xf numFmtId="0" fontId="19" fillId="9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29</xdr:row>
      <xdr:rowOff>9525</xdr:rowOff>
    </xdr:from>
    <xdr:ext cx="1095375" cy="1162050"/>
    <xdr:pic>
      <xdr:nvPicPr>
        <xdr:cNvPr id="4" name="image1.jpg" title="Imagen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49</xdr:row>
      <xdr:rowOff>171450</xdr:rowOff>
    </xdr:from>
    <xdr:ext cx="1095375" cy="1162050"/>
    <xdr:pic>
      <xdr:nvPicPr>
        <xdr:cNvPr id="6" name="image1.jpg" title="Imagen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180975</xdr:colOff>
      <xdr:row>49</xdr:row>
      <xdr:rowOff>171450</xdr:rowOff>
    </xdr:from>
    <xdr:to>
      <xdr:col>14</xdr:col>
      <xdr:colOff>504825</xdr:colOff>
      <xdr:row>54</xdr:row>
      <xdr:rowOff>66675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C96E79F-0D11-E4D0-C652-FB609F032B21}"/>
            </a:ext>
            <a:ext uri="{147F2762-F138-4A5C-976F-8EAC2B608ADB}">
              <a16:predDERef xmlns:a16="http://schemas.microsoft.com/office/drawing/2014/main" pre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1250" y="11106150"/>
          <a:ext cx="1133475" cy="1133475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29</xdr:row>
      <xdr:rowOff>28575</xdr:rowOff>
    </xdr:from>
    <xdr:to>
      <xdr:col>14</xdr:col>
      <xdr:colOff>533400</xdr:colOff>
      <xdr:row>33</xdr:row>
      <xdr:rowOff>171450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3E2A0B5-9967-493C-888B-F5FA42F89804}"/>
            </a:ext>
            <a:ext uri="{147F2762-F138-4A5C-976F-8EAC2B608ADB}">
              <a16:predDERef xmlns:a16="http://schemas.microsoft.com/office/drawing/2014/main" pred="{AD84C448-F58E-4AC4-AB51-D7BCF8CB9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9825" y="6010275"/>
          <a:ext cx="1133475" cy="1133475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352425</xdr:colOff>
      <xdr:row>8</xdr:row>
      <xdr:rowOff>257175</xdr:rowOff>
    </xdr:from>
    <xdr:to>
      <xdr:col>14</xdr:col>
      <xdr:colOff>676275</xdr:colOff>
      <xdr:row>12</xdr:row>
      <xdr:rowOff>123825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B94647F-5887-4FE6-81CC-FC9D748C753C}"/>
            </a:ext>
            <a:ext uri="{147F2762-F138-4A5C-976F-8EAC2B608ADB}">
              <a16:predDERef xmlns:a16="http://schemas.microsoft.com/office/drawing/2014/main" pred="{C3E2A0B5-9967-493C-888B-F5FA42F89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1200150"/>
          <a:ext cx="1133475" cy="1133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opLeftCell="A7" zoomScale="80" zoomScaleNormal="80" workbookViewId="0">
      <selection activeCell="I8" sqref="I8"/>
    </sheetView>
  </sheetViews>
  <sheetFormatPr baseColWidth="10" defaultColWidth="12.59765625" defaultRowHeight="15" customHeight="1" x14ac:dyDescent="0.25"/>
  <cols>
    <col min="1" max="1" width="4.59765625" customWidth="1"/>
    <col min="2" max="2" width="6.59765625" customWidth="1"/>
    <col min="3" max="5" width="20.59765625" customWidth="1"/>
    <col min="6" max="6" width="13.09765625" customWidth="1"/>
    <col min="7" max="7" width="32.5" customWidth="1"/>
    <col min="8" max="12" width="10.59765625" customWidth="1"/>
    <col min="13" max="13" width="32.69921875" customWidth="1"/>
    <col min="14" max="15" width="20.5976562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79" t="s">
        <v>0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1.80000000000001" x14ac:dyDescent="0.25">
      <c r="A6" s="1"/>
      <c r="B6" s="74" t="s">
        <v>15</v>
      </c>
      <c r="C6" s="74" t="s">
        <v>41</v>
      </c>
      <c r="D6" s="74" t="s">
        <v>54</v>
      </c>
      <c r="E6" s="74" t="s">
        <v>42</v>
      </c>
      <c r="F6" s="74" t="s">
        <v>21</v>
      </c>
      <c r="G6" s="74" t="s">
        <v>43</v>
      </c>
      <c r="H6" s="74" t="s">
        <v>22</v>
      </c>
      <c r="I6" s="74">
        <v>8</v>
      </c>
      <c r="J6" s="77">
        <v>46066</v>
      </c>
      <c r="K6" s="74" t="s">
        <v>18</v>
      </c>
      <c r="L6" s="74" t="s">
        <v>19</v>
      </c>
      <c r="M6" s="76" t="s">
        <v>44</v>
      </c>
      <c r="N6" s="74"/>
      <c r="O6" s="74" t="s">
        <v>46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7" x14ac:dyDescent="0.25">
      <c r="A7" s="1"/>
      <c r="B7" s="74" t="s">
        <v>20</v>
      </c>
      <c r="C7" s="74" t="s">
        <v>47</v>
      </c>
      <c r="D7" s="74" t="s">
        <v>53</v>
      </c>
      <c r="E7" s="74" t="s">
        <v>48</v>
      </c>
      <c r="F7" s="74" t="s">
        <v>16</v>
      </c>
      <c r="G7" s="74" t="s">
        <v>49</v>
      </c>
      <c r="H7" s="74" t="s">
        <v>17</v>
      </c>
      <c r="I7" s="74">
        <v>6</v>
      </c>
      <c r="J7" s="75">
        <v>45708</v>
      </c>
      <c r="K7" s="74" t="s">
        <v>26</v>
      </c>
      <c r="L7" s="74" t="s">
        <v>19</v>
      </c>
      <c r="M7" s="76" t="s">
        <v>50</v>
      </c>
      <c r="N7" s="74"/>
      <c r="O7" s="74" t="s">
        <v>45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9.4" x14ac:dyDescent="0.25">
      <c r="A8" s="1"/>
      <c r="B8" s="74" t="s">
        <v>23</v>
      </c>
      <c r="C8" s="74" t="s">
        <v>51</v>
      </c>
      <c r="D8" s="74" t="s">
        <v>52</v>
      </c>
      <c r="E8" s="74" t="s">
        <v>55</v>
      </c>
      <c r="F8" s="74" t="s">
        <v>21</v>
      </c>
      <c r="G8" s="74" t="s">
        <v>56</v>
      </c>
      <c r="H8" s="74" t="s">
        <v>24</v>
      </c>
      <c r="I8" s="74">
        <v>10</v>
      </c>
      <c r="J8" s="78">
        <v>46064</v>
      </c>
      <c r="K8" s="74" t="s">
        <v>28</v>
      </c>
      <c r="L8" s="74" t="s">
        <v>19</v>
      </c>
      <c r="M8" s="76" t="s">
        <v>57</v>
      </c>
      <c r="N8" s="74"/>
      <c r="O8" s="74" t="s">
        <v>58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5.75" customHeight="1" x14ac:dyDescent="0.25">
      <c r="A9" s="1"/>
      <c r="B9" s="71"/>
      <c r="C9" s="71"/>
      <c r="D9" s="71"/>
      <c r="E9" s="71"/>
      <c r="F9" s="71"/>
      <c r="G9" s="71"/>
      <c r="H9" s="71"/>
      <c r="I9" s="71"/>
      <c r="J9" s="72"/>
      <c r="K9" s="71"/>
      <c r="L9" s="71"/>
      <c r="M9" s="73"/>
      <c r="N9" s="71"/>
      <c r="O9" s="7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5.75" customHeight="1" x14ac:dyDescent="0.25">
      <c r="A10" s="70"/>
      <c r="B10" s="50"/>
      <c r="C10" s="50"/>
      <c r="D10" s="50"/>
      <c r="E10" s="50"/>
      <c r="F10" s="50"/>
      <c r="G10" s="50"/>
      <c r="H10" s="50"/>
      <c r="I10" s="50"/>
      <c r="J10" s="51"/>
      <c r="K10" s="50"/>
      <c r="L10" s="50"/>
      <c r="M10" s="52"/>
      <c r="N10" s="50"/>
      <c r="O10" s="50"/>
      <c r="P10" s="70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4.5" customHeight="1" x14ac:dyDescent="0.25">
      <c r="A11" s="70"/>
      <c r="B11" s="66"/>
      <c r="C11" s="66"/>
      <c r="D11" s="67"/>
      <c r="E11" s="66"/>
      <c r="F11" s="66"/>
      <c r="G11" s="68"/>
      <c r="H11" s="66"/>
      <c r="I11" s="66"/>
      <c r="J11" s="69"/>
      <c r="K11" s="66"/>
      <c r="L11" s="66"/>
      <c r="M11" s="66"/>
      <c r="N11" s="66"/>
      <c r="O11" s="66"/>
      <c r="P11" s="70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1.5" customHeight="1" x14ac:dyDescent="0.25">
      <c r="A12" s="70"/>
      <c r="B12" s="66"/>
      <c r="C12" s="66"/>
      <c r="D12" s="67"/>
      <c r="E12" s="66"/>
      <c r="F12" s="66"/>
      <c r="G12" s="68"/>
      <c r="H12" s="66"/>
      <c r="I12" s="66"/>
      <c r="J12" s="69"/>
      <c r="K12" s="66"/>
      <c r="L12" s="66"/>
      <c r="M12" s="66"/>
      <c r="N12" s="66"/>
      <c r="O12" s="66"/>
      <c r="P12" s="7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0.5" customHeight="1" x14ac:dyDescent="0.25">
      <c r="A13" s="70"/>
      <c r="B13" s="66"/>
      <c r="C13" s="66"/>
      <c r="D13" s="68"/>
      <c r="R13" s="1"/>
      <c r="S13" s="1"/>
      <c r="T13" s="1"/>
      <c r="U13" s="1"/>
      <c r="V13" s="1"/>
      <c r="W13" s="1"/>
      <c r="X13" s="1"/>
      <c r="Y13" s="1"/>
      <c r="Z13" s="1"/>
    </row>
    <row r="14" spans="1:26" ht="61.5" customHeight="1" x14ac:dyDescent="0.25">
      <c r="A14" s="1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8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1"/>
      <c r="B17" s="5"/>
      <c r="C17" s="6"/>
      <c r="D17" s="6"/>
      <c r="E17" s="1"/>
      <c r="F17" s="6"/>
      <c r="G17" s="6"/>
      <c r="H17" s="6"/>
      <c r="I17" s="7"/>
      <c r="J17" s="8"/>
      <c r="K17" s="7"/>
      <c r="L17" s="7"/>
      <c r="M17" s="6"/>
      <c r="N17" s="6"/>
      <c r="O17" s="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1"/>
      <c r="B18" s="5"/>
      <c r="C18" s="6"/>
      <c r="D18" s="6"/>
      <c r="E18" s="6"/>
      <c r="F18" s="6"/>
      <c r="G18" s="6"/>
      <c r="H18" s="6"/>
      <c r="I18" s="7"/>
      <c r="J18" s="8"/>
      <c r="K18" s="7"/>
      <c r="L18" s="7"/>
      <c r="M18" s="6"/>
      <c r="N18" s="36"/>
      <c r="O18" s="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25">
      <c r="A19" s="1"/>
      <c r="B19" s="5"/>
      <c r="C19" s="6"/>
      <c r="D19" s="6"/>
      <c r="E19" s="1"/>
      <c r="F19" s="6"/>
      <c r="G19" s="6"/>
      <c r="H19" s="6"/>
      <c r="I19" s="7"/>
      <c r="J19" s="8"/>
      <c r="K19" s="7"/>
      <c r="L19" s="7"/>
      <c r="M19" s="6"/>
      <c r="N19" s="6"/>
      <c r="O19" s="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5">
      <c r="A20" s="1"/>
      <c r="B20" s="5"/>
      <c r="C20" s="6"/>
      <c r="D20" s="6"/>
      <c r="E20" s="6"/>
      <c r="F20" s="6"/>
      <c r="G20" s="6"/>
      <c r="H20" s="6"/>
      <c r="I20" s="7"/>
      <c r="J20" s="8"/>
      <c r="K20" s="7"/>
      <c r="L20" s="7"/>
      <c r="M20" s="36"/>
      <c r="N20" s="6"/>
      <c r="O20" s="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5">
      <c r="A21" s="1"/>
      <c r="B21" s="5"/>
      <c r="C21" s="6"/>
      <c r="D21" s="6"/>
      <c r="E21" s="6"/>
      <c r="F21" s="6"/>
      <c r="G21" s="6"/>
      <c r="H21" s="6"/>
      <c r="I21" s="7"/>
      <c r="J21" s="8"/>
      <c r="K21" s="7"/>
      <c r="L21" s="7"/>
      <c r="M21" s="6" t="s">
        <v>25</v>
      </c>
      <c r="N21" s="6"/>
      <c r="O21" s="3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1"/>
      <c r="B22" s="1"/>
      <c r="C22" s="1"/>
      <c r="D22" s="1"/>
      <c r="E22" s="1"/>
      <c r="F22" s="1"/>
      <c r="G22" s="1"/>
      <c r="H22" s="1"/>
      <c r="I22" s="2"/>
      <c r="J22" s="2"/>
      <c r="K22" s="3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1"/>
      <c r="B23" s="1"/>
      <c r="C23" s="1"/>
      <c r="D23" s="1"/>
      <c r="E23" s="1"/>
      <c r="F23" s="1"/>
      <c r="G23" s="1"/>
      <c r="H23" s="1"/>
      <c r="I23" s="2"/>
      <c r="J23" s="2"/>
      <c r="K23" s="3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1"/>
      <c r="B24" s="1"/>
      <c r="C24" s="1"/>
      <c r="D24" s="1"/>
      <c r="E24" s="1"/>
      <c r="F24" s="1"/>
      <c r="G24" s="1"/>
      <c r="H24" s="36"/>
      <c r="I24" s="2"/>
      <c r="J24" s="2"/>
      <c r="K24" s="3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9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9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1"/>
      <c r="K31" s="3" t="s">
        <v>18</v>
      </c>
      <c r="L31" s="3" t="s">
        <v>19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1"/>
      <c r="K32" s="3" t="s">
        <v>26</v>
      </c>
      <c r="L32" s="3" t="s">
        <v>27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1"/>
      <c r="K33" s="3" t="s">
        <v>28</v>
      </c>
      <c r="L33" s="3" t="s">
        <v>29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1"/>
      <c r="K34" s="3"/>
      <c r="L34" s="3" t="s">
        <v>30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3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3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3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3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3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3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3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3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3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3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3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3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3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3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3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3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3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3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3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3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3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3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3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3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3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3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3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3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3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3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3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3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3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3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3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3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3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3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3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3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3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3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3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3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3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3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3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3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3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3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3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3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3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3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3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3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3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3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3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3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3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3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3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3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3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3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3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3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3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3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3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3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3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3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3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3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3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3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3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3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3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3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3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3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3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3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3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3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3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3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3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3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3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3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3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3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3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3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3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3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3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3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3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3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3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3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3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3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3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3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3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3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3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3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3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3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3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3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3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3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3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3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3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3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3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3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3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3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3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3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3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3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3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3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3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3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3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3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3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3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3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3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3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3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3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3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3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3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3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3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3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3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3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3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3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3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3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3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3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3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3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3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3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3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3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3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3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3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3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3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3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3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3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3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3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3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3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3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3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3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3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3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3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3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3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3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3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3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3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3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3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3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3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3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3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3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3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3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3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3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3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3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3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3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3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3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3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3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3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3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3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3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3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3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3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3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3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3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3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3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3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3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3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3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3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3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3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3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3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3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3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3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3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3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3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3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3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3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3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3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3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3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3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3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3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3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3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3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3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3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3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3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3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3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3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3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3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3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3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3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3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3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3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3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3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3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3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3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3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3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3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3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3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3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3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3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3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3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3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3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3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3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3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3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3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3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3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3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3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3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3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3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3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3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3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3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3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3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3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3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3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3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3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3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3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3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3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3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3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3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3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3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3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3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3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3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3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3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3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3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3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3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3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3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3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3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3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3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3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3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3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3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3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3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3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3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3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3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3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3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3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3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3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3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3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3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3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3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3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3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3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3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3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3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3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3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3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3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3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3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3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3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3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3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3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3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3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3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3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3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3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3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3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3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3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3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3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3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3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3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3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3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3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3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3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3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3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3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3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3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3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3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3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3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3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3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3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3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3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3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3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3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3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3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3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3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3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3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3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3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3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3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3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3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3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3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3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3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3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3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3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3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3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3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3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3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3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3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3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3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3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3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3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3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3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3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3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3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3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3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3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3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3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3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3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3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3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3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3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3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3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3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3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3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3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3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3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3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3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3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3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3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3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3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3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3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3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3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3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3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3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3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3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3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3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3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3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3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3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3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3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3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3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3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3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3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3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3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3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3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3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3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3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3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3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3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3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3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3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3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3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3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3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3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3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3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3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3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3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3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3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3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3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3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3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3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3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3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3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3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3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3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3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3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3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3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3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3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3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3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3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3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3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3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3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3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3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3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3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3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3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3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3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3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3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3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3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3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3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3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3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3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3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3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3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3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3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3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3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3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3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3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3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3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3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3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3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3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3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3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3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3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3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3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3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3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3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3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3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3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3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3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3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3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3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3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3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3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3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3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3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3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3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3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3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3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3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3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3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3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3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3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3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3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3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3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3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3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3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3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3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3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3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3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3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3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3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3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3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3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3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3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3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3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3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3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3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3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3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3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3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3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3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3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3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3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3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3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3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3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3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3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3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3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3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3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3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3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3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3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3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3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3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3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3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3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3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3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3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3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3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3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3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3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3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3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3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3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3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3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3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3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3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3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3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3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3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3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3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3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3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3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3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3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3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3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3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3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3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3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3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3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3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3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3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3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3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3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3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3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3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3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3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3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3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3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3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3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3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3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3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3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3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3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3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3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3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3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3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3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3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3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3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3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3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3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3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3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3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3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3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3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3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3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3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3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3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3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3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3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3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3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3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3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3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3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3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3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3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3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3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3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3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3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3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3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3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3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3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3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3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2"/>
      <c r="J996" s="2"/>
      <c r="K996" s="3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2"/>
      <c r="J997" s="2"/>
      <c r="K997" s="3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2"/>
      <c r="J998" s="2"/>
      <c r="K998" s="3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2"/>
      <c r="J999" s="2"/>
      <c r="K999" s="3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2"/>
      <c r="J1000" s="2"/>
      <c r="K1000" s="3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2"/>
      <c r="J1001" s="2"/>
      <c r="K1001" s="3"/>
      <c r="L1001" s="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2"/>
      <c r="J1002" s="2"/>
      <c r="K1002" s="3"/>
      <c r="L1002" s="2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">
    <mergeCell ref="B3:O3"/>
  </mergeCells>
  <conditionalFormatting sqref="K7">
    <cfRule type="colorScale" priority="4">
      <colorScale>
        <cfvo type="min"/>
        <cfvo type="max"/>
        <color rgb="FFFFFFFF"/>
        <color rgb="FF57BB8A"/>
      </colorScale>
    </cfRule>
  </conditionalFormatting>
  <conditionalFormatting sqref="L8">
    <cfRule type="colorScale" priority="3">
      <colorScale>
        <cfvo type="min"/>
        <cfvo type="max"/>
        <color rgb="FF57BB8A"/>
        <color rgb="FFFFFFFF"/>
      </colorScale>
    </cfRule>
  </conditionalFormatting>
  <conditionalFormatting sqref="L6:L12">
    <cfRule type="colorScale" priority="6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4:L21" xr:uid="{00000000-0002-0000-0000-000001000000}">
      <formula1>#REF!</formula1>
    </dataValidation>
    <dataValidation type="list" allowBlank="1" showErrorMessage="1" sqref="K7 K6 K8:K12" xr:uid="{00000000-0002-0000-0000-000000000000}">
      <formula1>$K$31:$K$33</formula1>
    </dataValidation>
    <dataValidation type="list" allowBlank="1" showErrorMessage="1" sqref="L7 L6 L8:L12" xr:uid="{00000000-0002-0000-0000-000002000000}">
      <formula1>$L$31:$L$34</formula1>
    </dataValidation>
    <dataValidation type="custom" allowBlank="1" showDropDown="1" sqref="J7 J6 J8:J12" xr:uid="{00000000-0002-0000-0000-000003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tabSelected="1" topLeftCell="A65" workbookViewId="0">
      <selection activeCell="M15" sqref="M15:O17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" hidden="1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4.4" hidden="1" x14ac:dyDescent="0.3">
      <c r="A4" s="35"/>
      <c r="B4" s="35"/>
      <c r="C4" s="10"/>
      <c r="D4" s="10"/>
      <c r="E4" s="10"/>
      <c r="F4" s="11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4.4" hidden="1" x14ac:dyDescent="0.3">
      <c r="A5" s="35"/>
      <c r="B5" s="35"/>
      <c r="C5" s="10"/>
      <c r="D5" s="10"/>
      <c r="E5" s="10"/>
      <c r="F5" s="11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39.75" customHeight="1" x14ac:dyDescent="0.25">
      <c r="A6" s="35"/>
      <c r="B6" s="159" t="s">
        <v>31</v>
      </c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1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9.75" customHeight="1" x14ac:dyDescent="0.25">
      <c r="A7" s="24"/>
      <c r="B7" s="2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9.75" customHeight="1" x14ac:dyDescent="0.3">
      <c r="A8" s="35"/>
      <c r="B8" s="37"/>
      <c r="C8" s="17"/>
      <c r="D8" s="17"/>
      <c r="E8" s="17"/>
      <c r="F8" s="18"/>
      <c r="G8" s="25"/>
      <c r="H8" s="25"/>
      <c r="I8" s="25"/>
      <c r="J8" s="25"/>
      <c r="K8" s="25"/>
      <c r="L8" s="25"/>
      <c r="M8" s="25"/>
      <c r="N8" s="25"/>
      <c r="O8" s="25"/>
      <c r="P8" s="38"/>
      <c r="Q8" s="24"/>
      <c r="R8" s="35"/>
      <c r="S8" s="35"/>
      <c r="T8" s="35"/>
      <c r="U8" s="35"/>
      <c r="V8" s="35"/>
      <c r="W8" s="35"/>
      <c r="X8" s="35"/>
      <c r="Y8" s="35"/>
      <c r="Z8" s="35"/>
    </row>
    <row r="9" spans="1:26" ht="30" customHeight="1" x14ac:dyDescent="0.25">
      <c r="A9" s="35"/>
      <c r="B9" s="21"/>
      <c r="C9" s="13" t="s">
        <v>1</v>
      </c>
      <c r="D9" s="39"/>
      <c r="E9" s="152" t="s">
        <v>32</v>
      </c>
      <c r="F9" s="153"/>
      <c r="G9" s="39"/>
      <c r="H9" s="152" t="s">
        <v>11</v>
      </c>
      <c r="I9" s="153"/>
      <c r="J9" s="20"/>
      <c r="K9" s="20"/>
      <c r="L9" s="20"/>
      <c r="M9" s="20"/>
      <c r="N9" s="20"/>
      <c r="O9" s="20"/>
      <c r="P9" s="22"/>
      <c r="Q9" s="24"/>
      <c r="R9" s="35"/>
      <c r="S9" s="35"/>
      <c r="T9" s="35"/>
      <c r="U9" s="35"/>
      <c r="V9" s="35"/>
      <c r="W9" s="35"/>
      <c r="X9" s="35"/>
      <c r="Y9" s="35"/>
      <c r="Z9" s="35"/>
    </row>
    <row r="10" spans="1:26" ht="30" customHeight="1" x14ac:dyDescent="0.25">
      <c r="A10" s="35"/>
      <c r="B10" s="21"/>
      <c r="C10" s="19" t="s">
        <v>15</v>
      </c>
      <c r="D10" s="40"/>
      <c r="E10" s="154" t="str">
        <f>VLOOKUP(C10,'Formato descripción HU'!B6:O21,5,0)</f>
        <v>Administradores</v>
      </c>
      <c r="F10" s="155"/>
      <c r="G10" s="41"/>
      <c r="H10" s="154" t="str">
        <f>VLOOKUP(C10,'Formato descripción HU'!B6:O21,11,0)</f>
        <v>No iniciado</v>
      </c>
      <c r="I10" s="155"/>
      <c r="J10" s="41"/>
      <c r="K10" s="20"/>
      <c r="L10" s="20"/>
      <c r="M10" s="20"/>
      <c r="N10" s="20"/>
      <c r="O10" s="20"/>
      <c r="P10" s="22"/>
      <c r="Q10" s="24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9.75" customHeight="1" x14ac:dyDescent="0.25">
      <c r="A11" s="24"/>
      <c r="B11" s="21"/>
      <c r="C11" s="42"/>
      <c r="D11" s="40"/>
      <c r="E11" s="43"/>
      <c r="F11" s="43"/>
      <c r="G11" s="41"/>
      <c r="H11" s="43"/>
      <c r="I11" s="43"/>
      <c r="J11" s="41"/>
      <c r="K11" s="43"/>
      <c r="L11" s="43"/>
      <c r="M11" s="20"/>
      <c r="N11" s="43"/>
      <c r="O11" s="43"/>
      <c r="P11" s="22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30" customHeight="1" x14ac:dyDescent="0.25">
      <c r="A12" s="24"/>
      <c r="B12" s="21"/>
      <c r="C12" s="13" t="s">
        <v>33</v>
      </c>
      <c r="D12" s="40"/>
      <c r="E12" s="152" t="s">
        <v>10</v>
      </c>
      <c r="F12" s="153"/>
      <c r="G12" s="41"/>
      <c r="H12" s="152" t="s">
        <v>34</v>
      </c>
      <c r="I12" s="153"/>
      <c r="J12" s="41"/>
      <c r="K12" s="43"/>
      <c r="L12" s="43"/>
      <c r="M12" s="20"/>
      <c r="N12" s="43"/>
      <c r="O12" s="43"/>
      <c r="P12" s="22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30" customHeight="1" x14ac:dyDescent="0.25">
      <c r="A13" s="24"/>
      <c r="B13" s="21"/>
      <c r="C13" s="19">
        <f>VLOOKUP('Historia de Usuario'!C10,'Formato descripción HU'!B6:O21,8,0)</f>
        <v>8</v>
      </c>
      <c r="D13" s="40"/>
      <c r="E13" s="154" t="str">
        <f>VLOOKUP(C10,'Formato descripción HU'!B6:O21,10,0)</f>
        <v>Alta</v>
      </c>
      <c r="F13" s="155"/>
      <c r="G13" s="41"/>
      <c r="H13" s="154" t="str">
        <f>VLOOKUP(C10,'Formato descripción HU'!B6:O21,7,0)</f>
        <v>César Herrera</v>
      </c>
      <c r="I13" s="155"/>
      <c r="J13" s="41"/>
      <c r="K13" s="43"/>
      <c r="L13" s="43"/>
      <c r="M13" s="20"/>
      <c r="N13" s="43"/>
      <c r="O13" s="43"/>
      <c r="P13" s="22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9.75" customHeight="1" x14ac:dyDescent="0.25">
      <c r="A14" s="24"/>
      <c r="B14" s="21"/>
      <c r="C14" s="20"/>
      <c r="D14" s="40"/>
      <c r="E14" s="20"/>
      <c r="F14" s="20"/>
      <c r="G14" s="41"/>
      <c r="H14" s="41"/>
      <c r="I14" s="20"/>
      <c r="J14" s="20"/>
      <c r="K14" s="20"/>
      <c r="L14" s="20"/>
      <c r="M14" s="20"/>
      <c r="N14" s="20"/>
      <c r="O14" s="20"/>
      <c r="P14" s="22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9.5" customHeight="1" x14ac:dyDescent="0.25">
      <c r="A15" s="24"/>
      <c r="B15" s="21"/>
      <c r="C15" s="140" t="s">
        <v>35</v>
      </c>
      <c r="D15" s="85" t="str">
        <f>VLOOKUP(C10,'Formato descripción HU'!B6:O21,3,0)</f>
        <v>El programa deberá implementar un sistema de reconocimiento exclusivo para administradores, con gestión de perfiles que pueda habilitar, crear o desactivar usuarios según los permisos asignados por el administrador en jefe.</v>
      </c>
      <c r="E15" s="86"/>
      <c r="F15" s="44"/>
      <c r="G15" s="140" t="s">
        <v>36</v>
      </c>
      <c r="H15" s="85" t="str">
        <f>VLOOKUP(C10,'Formato descripción HU'!B6:O21,4,0)</f>
        <v>Garantizar la seguridad, y control de accesos dentro del sistema de inventario, evitando manipulaciones no autorizadas y mejorando la gestión administrativa por niveles.</v>
      </c>
      <c r="I15" s="156"/>
      <c r="J15" s="86"/>
      <c r="K15" s="44"/>
      <c r="L15" s="140" t="s">
        <v>37</v>
      </c>
      <c r="M15" s="162" t="str">
        <f>VLOOKUP(C10,'Formato descripción HU'!B6:O21,6,0)</f>
        <v>Mediante un módulo de autenticación en la que se valide los identificadores de administradores, permita al administrador general crear, editar o deshabilitar perfiles para asegurar un control de acceso confiable y seguro.</v>
      </c>
      <c r="N15" s="163"/>
      <c r="O15" s="164"/>
      <c r="P15" s="22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9.5" customHeight="1" x14ac:dyDescent="0.25">
      <c r="A16" s="24"/>
      <c r="B16" s="21"/>
      <c r="C16" s="141"/>
      <c r="D16" s="87"/>
      <c r="E16" s="88"/>
      <c r="F16" s="44"/>
      <c r="G16" s="141"/>
      <c r="H16" s="87"/>
      <c r="I16" s="157"/>
      <c r="J16" s="88"/>
      <c r="K16" s="44"/>
      <c r="L16" s="141"/>
      <c r="M16" s="165"/>
      <c r="N16" s="166"/>
      <c r="O16" s="167"/>
      <c r="P16" s="22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9.5" customHeight="1" x14ac:dyDescent="0.25">
      <c r="A17" s="24"/>
      <c r="B17" s="21"/>
      <c r="C17" s="142"/>
      <c r="D17" s="89"/>
      <c r="E17" s="90"/>
      <c r="F17" s="44"/>
      <c r="G17" s="142"/>
      <c r="H17" s="89"/>
      <c r="I17" s="158"/>
      <c r="J17" s="90"/>
      <c r="K17" s="44"/>
      <c r="L17" s="142"/>
      <c r="M17" s="168"/>
      <c r="N17" s="169"/>
      <c r="O17" s="170"/>
      <c r="P17" s="22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9.75" customHeight="1" x14ac:dyDescent="0.25">
      <c r="A18" s="24"/>
      <c r="B18" s="21"/>
      <c r="C18" s="20"/>
      <c r="D18" s="20"/>
      <c r="E18" s="20"/>
      <c r="F18" s="20"/>
      <c r="G18" s="41"/>
      <c r="H18" s="41"/>
      <c r="I18" s="41"/>
      <c r="J18" s="20"/>
      <c r="K18" s="20"/>
      <c r="L18" s="20"/>
      <c r="M18" s="20"/>
      <c r="N18" s="20"/>
      <c r="O18" s="20"/>
      <c r="P18" s="22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9.5" customHeight="1" x14ac:dyDescent="0.25">
      <c r="A19" s="35"/>
      <c r="B19" s="21"/>
      <c r="C19" s="177" t="s">
        <v>38</v>
      </c>
      <c r="D19" s="178"/>
      <c r="E19" s="171" t="str">
        <f>VLOOKUP(C10,'Formato descripción HU'!B6:O21,14,0)</f>
        <v xml:space="preserve">Roles administrativos </v>
      </c>
      <c r="F19" s="172"/>
      <c r="G19" s="172"/>
      <c r="H19" s="172"/>
      <c r="I19" s="172"/>
      <c r="J19" s="172"/>
      <c r="K19" s="172"/>
      <c r="L19" s="172"/>
      <c r="M19" s="172"/>
      <c r="N19" s="172"/>
      <c r="O19" s="173"/>
      <c r="P19" s="22"/>
      <c r="Q19" s="24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9.5" customHeight="1" x14ac:dyDescent="0.25">
      <c r="A20" s="35"/>
      <c r="B20" s="21"/>
      <c r="C20" s="179"/>
      <c r="D20" s="180"/>
      <c r="E20" s="174"/>
      <c r="F20" s="175"/>
      <c r="G20" s="175"/>
      <c r="H20" s="175"/>
      <c r="I20" s="175"/>
      <c r="J20" s="175"/>
      <c r="K20" s="175"/>
      <c r="L20" s="175"/>
      <c r="M20" s="175"/>
      <c r="N20" s="175"/>
      <c r="O20" s="176"/>
      <c r="P20" s="22"/>
      <c r="Q20" s="24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9.75" customHeight="1" x14ac:dyDescent="0.25">
      <c r="A21" s="35"/>
      <c r="B21" s="21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2"/>
      <c r="Q21" s="24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9.5" customHeight="1" x14ac:dyDescent="0.25">
      <c r="A22" s="24"/>
      <c r="B22" s="21"/>
      <c r="C22" s="181" t="s">
        <v>39</v>
      </c>
      <c r="D22" s="182"/>
      <c r="E22" s="187" t="str">
        <f>VLOOKUP(C10,'Formato descripción HU'!B6:O21,12,0)</f>
        <v>Verificar que solo administradores con credenciales válidas pueden acceder al sistema. Probar inicio de sesión con usuario y contraseña correctos, incorrectos y con un usuario deshabilitado (debe negar el acceso). Comprobar que el administrador general puede crear, editar y desactivar perfiles, y que dichas acciones quedan registradas en un historial (usuario, fecha, hora y acción). Confirmar que un usuario desactivado no puede volver a acceder ni realizar operaciones en el sistema.</v>
      </c>
      <c r="F22" s="188"/>
      <c r="G22" s="188"/>
      <c r="H22" s="189"/>
      <c r="I22" s="20"/>
      <c r="J22" s="181" t="s">
        <v>13</v>
      </c>
      <c r="K22" s="182"/>
      <c r="L22" s="85">
        <f>VLOOKUP(C10,'Formato descripción HU'!B6:O21,13,0)</f>
        <v>0</v>
      </c>
      <c r="M22" s="156"/>
      <c r="N22" s="156"/>
      <c r="O22" s="86"/>
      <c r="P22" s="22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9.5" customHeight="1" x14ac:dyDescent="0.25">
      <c r="A23" s="24"/>
      <c r="B23" s="21"/>
      <c r="C23" s="183"/>
      <c r="D23" s="184"/>
      <c r="E23" s="190"/>
      <c r="F23" s="191"/>
      <c r="G23" s="191"/>
      <c r="H23" s="192"/>
      <c r="I23" s="20"/>
      <c r="J23" s="183"/>
      <c r="K23" s="184"/>
      <c r="L23" s="87"/>
      <c r="M23" s="157"/>
      <c r="N23" s="157"/>
      <c r="O23" s="88"/>
      <c r="P23" s="22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9.5" customHeight="1" x14ac:dyDescent="0.25">
      <c r="A24" s="24"/>
      <c r="B24" s="21"/>
      <c r="C24" s="185"/>
      <c r="D24" s="186"/>
      <c r="E24" s="193"/>
      <c r="F24" s="194"/>
      <c r="G24" s="194"/>
      <c r="H24" s="195"/>
      <c r="I24" s="20"/>
      <c r="J24" s="185"/>
      <c r="K24" s="186"/>
      <c r="L24" s="89"/>
      <c r="M24" s="158"/>
      <c r="N24" s="158"/>
      <c r="O24" s="90"/>
      <c r="P24" s="22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9.75" customHeight="1" x14ac:dyDescent="0.25">
      <c r="A25" s="24"/>
      <c r="B25" s="1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15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9.5" customHeight="1" x14ac:dyDescent="0.3">
      <c r="A26" s="35"/>
      <c r="B26" s="35"/>
      <c r="C26" s="10"/>
      <c r="D26" s="10"/>
      <c r="E26" s="10"/>
      <c r="F26" s="11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3.95" customHeight="1" x14ac:dyDescent="0.25">
      <c r="A27" s="16" t="s">
        <v>40</v>
      </c>
      <c r="B27" s="159" t="s">
        <v>31</v>
      </c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1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9.5" customHeight="1" x14ac:dyDescent="0.25">
      <c r="A28" s="24"/>
      <c r="B28" s="2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9.5" customHeight="1" x14ac:dyDescent="0.3">
      <c r="A29" s="35"/>
      <c r="B29" s="37"/>
      <c r="C29" s="17"/>
      <c r="D29" s="17"/>
      <c r="E29" s="17"/>
      <c r="F29" s="18"/>
      <c r="G29" s="25"/>
      <c r="H29" s="25"/>
      <c r="I29" s="25"/>
      <c r="J29" s="25"/>
      <c r="K29" s="25"/>
      <c r="L29" s="25"/>
      <c r="M29" s="25"/>
      <c r="N29" s="25"/>
      <c r="O29" s="25"/>
      <c r="P29" s="38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9.5" customHeight="1" x14ac:dyDescent="0.25">
      <c r="A30" s="35"/>
      <c r="B30" s="21"/>
      <c r="C30" s="13" t="s">
        <v>1</v>
      </c>
      <c r="D30" s="39"/>
      <c r="E30" s="152" t="s">
        <v>32</v>
      </c>
      <c r="F30" s="153"/>
      <c r="G30" s="39"/>
      <c r="H30" s="152" t="s">
        <v>11</v>
      </c>
      <c r="I30" s="153"/>
      <c r="J30" s="20"/>
      <c r="K30" s="20"/>
      <c r="L30" s="20"/>
      <c r="M30" s="20"/>
      <c r="N30" s="20"/>
      <c r="O30" s="20"/>
      <c r="P30" s="22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9.5" customHeight="1" x14ac:dyDescent="0.25">
      <c r="A31" s="35"/>
      <c r="B31" s="21"/>
      <c r="C31" s="19" t="s">
        <v>20</v>
      </c>
      <c r="D31" s="40"/>
      <c r="E31" s="154" t="str">
        <f>VLOOKUP(C31,'Formato descripción HU'!B7:O47,5,0)</f>
        <v>Administrador</v>
      </c>
      <c r="F31" s="155"/>
      <c r="G31" s="41"/>
      <c r="H31" s="154" t="str">
        <f>VLOOKUP(C31,'Formato descripción HU'!B7:O47,11,0)</f>
        <v>No iniciado</v>
      </c>
      <c r="I31" s="155"/>
      <c r="J31" s="41"/>
      <c r="K31" s="20"/>
      <c r="L31" s="46"/>
      <c r="M31" s="20"/>
      <c r="N31" s="46"/>
      <c r="O31" s="20"/>
      <c r="P31" s="22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9.5" customHeight="1" x14ac:dyDescent="0.25">
      <c r="A32" s="24"/>
      <c r="B32" s="21"/>
      <c r="C32" s="42"/>
      <c r="D32" s="40"/>
      <c r="E32" s="43"/>
      <c r="F32" s="43"/>
      <c r="G32" s="41"/>
      <c r="H32" s="43"/>
      <c r="I32" s="43"/>
      <c r="J32" s="41"/>
      <c r="K32" s="43"/>
      <c r="L32" s="47"/>
      <c r="M32" s="20"/>
      <c r="N32" s="43"/>
      <c r="O32" s="43"/>
      <c r="P32" s="22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9.5" customHeight="1" x14ac:dyDescent="0.25">
      <c r="A33" s="24"/>
      <c r="B33" s="21"/>
      <c r="C33" s="13" t="s">
        <v>33</v>
      </c>
      <c r="D33" s="40"/>
      <c r="E33" s="152" t="s">
        <v>10</v>
      </c>
      <c r="F33" s="153"/>
      <c r="G33" s="41"/>
      <c r="H33" s="152" t="s">
        <v>34</v>
      </c>
      <c r="I33" s="153"/>
      <c r="J33" s="41"/>
      <c r="K33" s="43"/>
      <c r="L33" s="43"/>
      <c r="M33" s="20"/>
      <c r="N33" s="43"/>
      <c r="O33" s="43"/>
      <c r="P33" s="22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9.5" customHeight="1" x14ac:dyDescent="0.25">
      <c r="A34" s="24"/>
      <c r="B34" s="21"/>
      <c r="C34" s="19">
        <f>VLOOKUP('Historia de Usuario'!C31,'Formato descripción HU'!B7:O47,8,0)</f>
        <v>6</v>
      </c>
      <c r="D34" s="40"/>
      <c r="E34" s="154" t="str">
        <f>VLOOKUP(C31,'Formato descripción HU'!B7:O47,10,0)</f>
        <v xml:space="preserve">Media </v>
      </c>
      <c r="F34" s="155"/>
      <c r="G34" s="41"/>
      <c r="H34" s="154" t="str">
        <f>VLOOKUP(C31,'Formato descripción HU'!B7:O47,7,0)</f>
        <v>Matias Intriago</v>
      </c>
      <c r="I34" s="155"/>
      <c r="J34" s="41"/>
      <c r="K34" s="43"/>
      <c r="L34" s="43"/>
      <c r="M34" s="20"/>
      <c r="N34" s="43"/>
      <c r="O34" s="43"/>
      <c r="P34" s="22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9.5" customHeight="1" x14ac:dyDescent="0.25">
      <c r="A35" s="24"/>
      <c r="B35" s="21"/>
      <c r="C35" s="20"/>
      <c r="D35" s="40"/>
      <c r="E35" s="20"/>
      <c r="F35" s="20"/>
      <c r="G35" s="41"/>
      <c r="H35" s="41"/>
      <c r="I35" s="20"/>
      <c r="J35" s="20"/>
      <c r="K35" s="20"/>
      <c r="L35" s="20"/>
      <c r="M35" s="20"/>
      <c r="N35" s="20"/>
      <c r="O35" s="20"/>
      <c r="P35" s="22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9.5" customHeight="1" x14ac:dyDescent="0.25">
      <c r="A36" s="24"/>
      <c r="B36" s="21"/>
      <c r="C36" s="140" t="s">
        <v>35</v>
      </c>
      <c r="D36" s="85" t="str">
        <f>VLOOKUP(C31,'Formato descripción HU'!B7:O47,3,0)</f>
        <v>El programa deberá organizar los productos mediante categorías claras y filtros de búsqueda avanzados, para facilitar su consulta y administración.</v>
      </c>
      <c r="E36" s="86"/>
      <c r="F36" s="44"/>
      <c r="G36" s="140" t="s">
        <v>36</v>
      </c>
      <c r="H36" s="85" t="str">
        <f>VLOOKUP(C31,'Formato descripción HU'!B7:O47,4,0)</f>
        <v>Para mejorar la velocidad, precisión y eficiencia en la gestión y localización de productos dentro del inventario.</v>
      </c>
      <c r="I36" s="156"/>
      <c r="J36" s="86"/>
      <c r="K36" s="44"/>
      <c r="L36" s="140" t="s">
        <v>37</v>
      </c>
      <c r="M36" s="143" t="str">
        <f>VLOOKUP(C31,'Formato descripción HU'!B7:O47,6,0)</f>
        <v>Implementar un módulo de gestión de productos que permita crear, asignar y modificar categorías; registrar nuevos productos; actualizar los existentes; y aplicar filtros de búsqueda por criterios como categoría, nombre, precio, lote o disponibilidad.</v>
      </c>
      <c r="N36" s="144"/>
      <c r="O36" s="145"/>
      <c r="P36" s="22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9.5" customHeight="1" x14ac:dyDescent="0.25">
      <c r="A37" s="24"/>
      <c r="B37" s="21"/>
      <c r="C37" s="141"/>
      <c r="D37" s="87"/>
      <c r="E37" s="88"/>
      <c r="F37" s="44"/>
      <c r="G37" s="141"/>
      <c r="H37" s="87"/>
      <c r="I37" s="157"/>
      <c r="J37" s="88"/>
      <c r="K37" s="44"/>
      <c r="L37" s="141"/>
      <c r="M37" s="146"/>
      <c r="N37" s="147"/>
      <c r="O37" s="148"/>
      <c r="P37" s="22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9.5" customHeight="1" x14ac:dyDescent="0.25">
      <c r="A38" s="24"/>
      <c r="B38" s="21"/>
      <c r="C38" s="142"/>
      <c r="D38" s="89"/>
      <c r="E38" s="90"/>
      <c r="F38" s="44"/>
      <c r="G38" s="142"/>
      <c r="H38" s="89"/>
      <c r="I38" s="158"/>
      <c r="J38" s="90"/>
      <c r="K38" s="44"/>
      <c r="L38" s="142"/>
      <c r="M38" s="149"/>
      <c r="N38" s="150"/>
      <c r="O38" s="151"/>
      <c r="P38" s="22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9.5" customHeight="1" x14ac:dyDescent="0.25">
      <c r="A39" s="24"/>
      <c r="B39" s="21"/>
      <c r="C39" s="20"/>
      <c r="D39" s="20"/>
      <c r="E39" s="20"/>
      <c r="F39" s="20"/>
      <c r="G39" s="41"/>
      <c r="H39" s="41"/>
      <c r="I39" s="41"/>
      <c r="J39" s="20"/>
      <c r="K39" s="20"/>
      <c r="L39" s="20"/>
      <c r="M39" s="20"/>
      <c r="N39" s="20"/>
      <c r="O39" s="20"/>
      <c r="P39" s="22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9.5" customHeight="1" x14ac:dyDescent="0.25">
      <c r="A40" s="35"/>
      <c r="B40" s="21"/>
      <c r="C40" s="177" t="s">
        <v>38</v>
      </c>
      <c r="D40" s="178"/>
      <c r="E40" s="171" t="str">
        <f>VLOOKUP(C31,'Formato descripción HU'!B7:O47,14,0)</f>
        <v xml:space="preserve">Categorización de productos en el inventario </v>
      </c>
      <c r="F40" s="172"/>
      <c r="G40" s="172"/>
      <c r="H40" s="172"/>
      <c r="I40" s="172"/>
      <c r="J40" s="172"/>
      <c r="K40" s="172"/>
      <c r="L40" s="172"/>
      <c r="M40" s="172"/>
      <c r="N40" s="172"/>
      <c r="O40" s="173"/>
      <c r="P40" s="22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9.5" customHeight="1" x14ac:dyDescent="0.25">
      <c r="A41" s="35"/>
      <c r="B41" s="21"/>
      <c r="C41" s="179"/>
      <c r="D41" s="180"/>
      <c r="E41" s="174"/>
      <c r="F41" s="175"/>
      <c r="G41" s="175"/>
      <c r="H41" s="175"/>
      <c r="I41" s="175"/>
      <c r="J41" s="175"/>
      <c r="K41" s="175"/>
      <c r="L41" s="175"/>
      <c r="M41" s="175"/>
      <c r="N41" s="175"/>
      <c r="O41" s="176"/>
      <c r="P41" s="22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9.5" customHeight="1" x14ac:dyDescent="0.25">
      <c r="A42" s="35"/>
      <c r="B42" s="21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2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9.5" customHeight="1" x14ac:dyDescent="0.25">
      <c r="A43" s="24"/>
      <c r="B43" s="21"/>
      <c r="C43" s="181" t="s">
        <v>39</v>
      </c>
      <c r="D43" s="182"/>
      <c r="E43" s="187" t="str">
        <f>VLOOKUP(C31,'Formato descripción HU'!B7:O47,12,0)</f>
        <v>Para verificar este requisito, se comprobará que el sistema permita insertar, modificar, buscar y eliminar productos en la base de datos de manera correcta. Se evaluará que cada producto quede adecuadamente asociado a una categoría válida y que la organización de los elementos siga los criterios establecidos, como categoría, nombre, precio o stock. Además, se realizarán pruebas de búsqueda y filtrado utilizando diferentes combinaciones de datos, así como pruebas con distintos volúmenes de información para validar el rendimiento del sistema. Finalmente, se confirmará con el administrador que la categorización y los filtros cumplen con los requerimientos funcionales establecidos.</v>
      </c>
      <c r="F43" s="188"/>
      <c r="G43" s="188"/>
      <c r="H43" s="189"/>
      <c r="I43" s="20"/>
      <c r="J43" s="181" t="s">
        <v>13</v>
      </c>
      <c r="K43" s="182"/>
      <c r="L43" s="85">
        <f>VLOOKUP(C31,'Formato descripción HU'!B7:O47,13,0)</f>
        <v>0</v>
      </c>
      <c r="M43" s="156"/>
      <c r="N43" s="156"/>
      <c r="O43" s="86"/>
      <c r="P43" s="22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9.5" customHeight="1" x14ac:dyDescent="0.25">
      <c r="A44" s="24"/>
      <c r="B44" s="21"/>
      <c r="C44" s="183"/>
      <c r="D44" s="184"/>
      <c r="E44" s="190"/>
      <c r="F44" s="191"/>
      <c r="G44" s="191"/>
      <c r="H44" s="192"/>
      <c r="I44" s="20"/>
      <c r="J44" s="183"/>
      <c r="K44" s="184"/>
      <c r="L44" s="87"/>
      <c r="M44" s="157"/>
      <c r="N44" s="157"/>
      <c r="O44" s="88"/>
      <c r="P44" s="22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9.5" customHeight="1" x14ac:dyDescent="0.25">
      <c r="A45" s="24"/>
      <c r="B45" s="21"/>
      <c r="C45" s="185"/>
      <c r="D45" s="186"/>
      <c r="E45" s="193"/>
      <c r="F45" s="194"/>
      <c r="G45" s="194"/>
      <c r="H45" s="195"/>
      <c r="I45" s="20"/>
      <c r="J45" s="185"/>
      <c r="K45" s="186"/>
      <c r="L45" s="89"/>
      <c r="M45" s="158"/>
      <c r="N45" s="158"/>
      <c r="O45" s="90"/>
      <c r="P45" s="22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9.5" customHeight="1" x14ac:dyDescent="0.25">
      <c r="A46" s="24"/>
      <c r="B46" s="14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1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9.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9.5" customHeight="1" x14ac:dyDescent="0.4">
      <c r="A48" s="23"/>
      <c r="B48" s="200" t="s">
        <v>31</v>
      </c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2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16" ht="19.5" customHeight="1" x14ac:dyDescent="0.25">
      <c r="A49" s="23"/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3"/>
    </row>
    <row r="50" spans="1:16" ht="19.5" customHeight="1" x14ac:dyDescent="0.25">
      <c r="A50" s="23"/>
      <c r="B50" s="48"/>
      <c r="C50" s="25"/>
      <c r="D50" s="25"/>
      <c r="E50" s="25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49"/>
    </row>
    <row r="51" spans="1:16" ht="19.5" customHeight="1" x14ac:dyDescent="0.3">
      <c r="A51" s="23"/>
      <c r="B51" s="28"/>
      <c r="C51" s="33" t="s">
        <v>1</v>
      </c>
      <c r="D51" s="20"/>
      <c r="E51" s="203" t="s">
        <v>32</v>
      </c>
      <c r="F51" s="204"/>
      <c r="G51" s="20"/>
      <c r="H51" s="203" t="s">
        <v>11</v>
      </c>
      <c r="I51" s="204"/>
      <c r="J51" s="27"/>
      <c r="K51" s="27"/>
      <c r="L51" s="27"/>
      <c r="M51" s="27"/>
      <c r="N51" s="27"/>
      <c r="O51" s="27"/>
      <c r="P51" s="29"/>
    </row>
    <row r="52" spans="1:16" ht="19.5" customHeight="1" x14ac:dyDescent="0.3">
      <c r="A52" s="23"/>
      <c r="B52" s="28"/>
      <c r="C52" s="34" t="s">
        <v>23</v>
      </c>
      <c r="D52" s="20"/>
      <c r="E52" s="205" t="str">
        <f>VLOOKUP(C52,'Formato descripción HU'!B$1:O68,5,0)</f>
        <v>Administradores</v>
      </c>
      <c r="F52" s="206"/>
      <c r="G52" s="20"/>
      <c r="H52" s="154" t="str">
        <f>VLOOKUP(C52,'Formato descripción HU'!B$1:O68,11,0)</f>
        <v>No iniciado</v>
      </c>
      <c r="I52" s="155"/>
      <c r="J52" s="20"/>
      <c r="K52" s="27"/>
      <c r="L52" s="27"/>
      <c r="M52" s="27"/>
      <c r="N52" s="27"/>
      <c r="O52" s="27"/>
      <c r="P52" s="29"/>
    </row>
    <row r="53" spans="1:16" ht="19.5" customHeight="1" x14ac:dyDescent="0.25">
      <c r="A53" s="23"/>
      <c r="B53" s="28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7"/>
      <c r="N53" s="20"/>
      <c r="O53" s="20"/>
      <c r="P53" s="29"/>
    </row>
    <row r="54" spans="1:16" ht="19.5" customHeight="1" x14ac:dyDescent="0.3">
      <c r="A54" s="23"/>
      <c r="B54" s="28"/>
      <c r="C54" s="33" t="s">
        <v>33</v>
      </c>
      <c r="D54" s="20"/>
      <c r="E54" s="203" t="s">
        <v>10</v>
      </c>
      <c r="F54" s="204"/>
      <c r="G54" s="20"/>
      <c r="H54" s="203" t="s">
        <v>34</v>
      </c>
      <c r="I54" s="204"/>
      <c r="J54" s="20"/>
      <c r="K54" s="20"/>
      <c r="L54" s="20"/>
      <c r="M54" s="27"/>
      <c r="N54" s="20"/>
      <c r="O54" s="20"/>
      <c r="P54" s="29"/>
    </row>
    <row r="55" spans="1:16" ht="15.75" customHeight="1" x14ac:dyDescent="0.3">
      <c r="A55" s="23"/>
      <c r="B55" s="28"/>
      <c r="C55" s="34">
        <f>VLOOKUP('Historia de Usuario'!C52,'Formato descripción HU'!B$1:O68,8,0)</f>
        <v>10</v>
      </c>
      <c r="D55" s="20"/>
      <c r="E55" s="205" t="str">
        <f>VLOOKUP(C52,'Formato descripción HU'!B$1:O68,10,0)</f>
        <v>Baja</v>
      </c>
      <c r="F55" s="206"/>
      <c r="G55" s="20"/>
      <c r="H55" s="205" t="str">
        <f>VLOOKUP(C52,'Formato descripción HU'!B$1:O68,7,0)</f>
        <v>Kelly Montalvo</v>
      </c>
      <c r="I55" s="206"/>
      <c r="J55" s="20"/>
      <c r="K55" s="20"/>
      <c r="L55" s="20"/>
      <c r="M55" s="27"/>
      <c r="N55" s="20"/>
      <c r="O55" s="20"/>
      <c r="P55" s="29"/>
    </row>
    <row r="56" spans="1:16" ht="15.75" customHeight="1" x14ac:dyDescent="0.25">
      <c r="A56" s="23"/>
      <c r="B56" s="28"/>
      <c r="C56" s="27"/>
      <c r="D56" s="20"/>
      <c r="E56" s="27"/>
      <c r="F56" s="27"/>
      <c r="G56" s="20"/>
      <c r="H56" s="20"/>
      <c r="I56" s="27"/>
      <c r="J56" s="27"/>
      <c r="K56" s="27"/>
      <c r="L56" s="27"/>
      <c r="M56" s="27"/>
      <c r="N56" s="27"/>
      <c r="O56" s="27"/>
      <c r="P56" s="29"/>
    </row>
    <row r="57" spans="1:16" ht="15.75" customHeight="1" x14ac:dyDescent="0.25">
      <c r="A57" s="23"/>
      <c r="B57" s="28"/>
      <c r="C57" s="82" t="s">
        <v>35</v>
      </c>
      <c r="D57" s="85" t="str">
        <f>VLOOKUP(C52,'Formato descripción HU'!B$1:O68,3,0)</f>
        <v>El programa deberá registrar las fechas de caducidad y niveles mínimos de stock para cada medicina, y que le alerte cuando un producto esté por vencer o tenga inventario bajo.</v>
      </c>
      <c r="E57" s="86"/>
      <c r="F57" s="27"/>
      <c r="G57" s="82" t="s">
        <v>36</v>
      </c>
      <c r="H57" s="106" t="str">
        <f>VLOOKUP(C52,'Formato descripción HU'!B$1:O68,4,0)</f>
        <v>Para evitar pérdidas por productos vencidos, asegurar la disponibilidad adecuada de medicamentos y mejorar la gestión del inventario.</v>
      </c>
      <c r="I57" s="107"/>
      <c r="J57" s="108"/>
      <c r="K57" s="27"/>
      <c r="L57" s="82" t="s">
        <v>37</v>
      </c>
      <c r="M57" s="91" t="str">
        <f>VLOOKUP(C52,'Formato descripción HU'!B$1:O68,6,0)</f>
        <v>Se implementará un módulo que permita ingresar y editar la fecha de caducidad y el stock mínimo de cada producto. El sistema mostrará alertas visuales o mensajes cuando un producto esté cerca de vencer (por ejemplo, 30 días antes) o cuando su stock esté por debajo del mínimo definido.</v>
      </c>
      <c r="N57" s="92"/>
      <c r="O57" s="93"/>
      <c r="P57" s="29"/>
    </row>
    <row r="58" spans="1:16" ht="15.75" customHeight="1" x14ac:dyDescent="0.25">
      <c r="A58" s="23"/>
      <c r="B58" s="28"/>
      <c r="C58" s="83"/>
      <c r="D58" s="87"/>
      <c r="E58" s="88"/>
      <c r="F58" s="27"/>
      <c r="G58" s="83"/>
      <c r="H58" s="109"/>
      <c r="I58" s="110"/>
      <c r="J58" s="111"/>
      <c r="K58" s="27"/>
      <c r="L58" s="83"/>
      <c r="M58" s="94"/>
      <c r="N58" s="95"/>
      <c r="O58" s="96"/>
      <c r="P58" s="29"/>
    </row>
    <row r="59" spans="1:16" ht="15.75" customHeight="1" x14ac:dyDescent="0.25">
      <c r="A59" s="23"/>
      <c r="B59" s="28"/>
      <c r="C59" s="84"/>
      <c r="D59" s="89"/>
      <c r="E59" s="90"/>
      <c r="F59" s="27"/>
      <c r="G59" s="84"/>
      <c r="H59" s="112"/>
      <c r="I59" s="113"/>
      <c r="J59" s="114"/>
      <c r="K59" s="27"/>
      <c r="L59" s="84"/>
      <c r="M59" s="97"/>
      <c r="N59" s="98"/>
      <c r="O59" s="99"/>
      <c r="P59" s="29"/>
    </row>
    <row r="60" spans="1:16" ht="15.75" customHeight="1" x14ac:dyDescent="0.25">
      <c r="A60" s="23"/>
      <c r="B60" s="28"/>
      <c r="C60" s="27"/>
      <c r="D60" s="27"/>
      <c r="E60" s="27"/>
      <c r="F60" s="27"/>
      <c r="G60" s="20"/>
      <c r="H60" s="20"/>
      <c r="I60" s="20"/>
      <c r="J60" s="27"/>
      <c r="K60" s="27"/>
      <c r="L60" s="27"/>
      <c r="M60" s="27"/>
      <c r="N60" s="27"/>
      <c r="O60" s="27"/>
      <c r="P60" s="29"/>
    </row>
    <row r="61" spans="1:16" ht="15.75" customHeight="1" x14ac:dyDescent="0.25">
      <c r="A61" s="23"/>
      <c r="B61" s="28"/>
      <c r="C61" s="196" t="s">
        <v>38</v>
      </c>
      <c r="D61" s="197"/>
      <c r="E61" s="100" t="str">
        <f>VLOOKUP(C52,'Formato descripción HU'!B$1:O68,14,0)</f>
        <v>Control de caducidad y alertas de stock bajo</v>
      </c>
      <c r="F61" s="101"/>
      <c r="G61" s="101"/>
      <c r="H61" s="101"/>
      <c r="I61" s="101"/>
      <c r="J61" s="101"/>
      <c r="K61" s="101"/>
      <c r="L61" s="101"/>
      <c r="M61" s="101"/>
      <c r="N61" s="101"/>
      <c r="O61" s="102"/>
      <c r="P61" s="29"/>
    </row>
    <row r="62" spans="1:16" ht="15.75" customHeight="1" x14ac:dyDescent="0.25">
      <c r="A62" s="23"/>
      <c r="B62" s="28"/>
      <c r="C62" s="198"/>
      <c r="D62" s="199"/>
      <c r="E62" s="103"/>
      <c r="F62" s="104"/>
      <c r="G62" s="104"/>
      <c r="H62" s="104"/>
      <c r="I62" s="104"/>
      <c r="J62" s="104"/>
      <c r="K62" s="104"/>
      <c r="L62" s="104"/>
      <c r="M62" s="104"/>
      <c r="N62" s="104"/>
      <c r="O62" s="105"/>
      <c r="P62" s="29"/>
    </row>
    <row r="63" spans="1:16" ht="15.75" customHeight="1" x14ac:dyDescent="0.25">
      <c r="A63" s="23"/>
      <c r="B63" s="28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9"/>
    </row>
    <row r="64" spans="1:16" ht="15.75" customHeight="1" x14ac:dyDescent="0.25">
      <c r="A64" s="23"/>
      <c r="B64" s="28"/>
      <c r="C64" s="116" t="s">
        <v>39</v>
      </c>
      <c r="D64" s="117"/>
      <c r="E64" s="122" t="str">
        <f>VLOOKUP(C52,'Formato descripción HU'!B$1:O68,12,0)</f>
        <v>La verificación del requisito se realizará registrando productos en el sistema con fechas de caducidad próximas y niveles de stock inferiores al mínimo establecido. Se comprobará que el sistema muestre correctamente las alertas visuales o mensajes correspondientes para cada caso. También se evaluará que, al actualizar la fecha de caducidad o la cantidad disponible, las alertas se ajusten automáticamente según los nuevos valores. Finalmente, se validará con el administrador que las alertas cumplen con los requerimientos funcionales y permiten gestionar los productos de forma oportuna.</v>
      </c>
      <c r="F64" s="123"/>
      <c r="G64" s="123"/>
      <c r="H64" s="124"/>
      <c r="I64" s="27"/>
      <c r="J64" s="116" t="s">
        <v>13</v>
      </c>
      <c r="K64" s="117"/>
      <c r="L64" s="131">
        <f>VLOOKUP(C52,'Formato descripción HU'!B$1:O68,13,0)</f>
        <v>0</v>
      </c>
      <c r="M64" s="132"/>
      <c r="N64" s="132"/>
      <c r="O64" s="133"/>
      <c r="P64" s="29"/>
    </row>
    <row r="65" spans="1:26" ht="15.75" customHeight="1" x14ac:dyDescent="0.25">
      <c r="A65" s="23"/>
      <c r="B65" s="28"/>
      <c r="C65" s="118"/>
      <c r="D65" s="119"/>
      <c r="E65" s="125"/>
      <c r="F65" s="126"/>
      <c r="G65" s="126"/>
      <c r="H65" s="127"/>
      <c r="I65" s="27"/>
      <c r="J65" s="118"/>
      <c r="K65" s="119"/>
      <c r="L65" s="134"/>
      <c r="M65" s="135"/>
      <c r="N65" s="135"/>
      <c r="O65" s="136"/>
      <c r="P65" s="29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5.75" customHeight="1" x14ac:dyDescent="0.25">
      <c r="A66" s="23"/>
      <c r="B66" s="28"/>
      <c r="C66" s="120"/>
      <c r="D66" s="121"/>
      <c r="E66" s="128"/>
      <c r="F66" s="129"/>
      <c r="G66" s="129"/>
      <c r="H66" s="130"/>
      <c r="I66" s="27"/>
      <c r="J66" s="120"/>
      <c r="K66" s="121"/>
      <c r="L66" s="137"/>
      <c r="M66" s="138"/>
      <c r="N66" s="138"/>
      <c r="O66" s="139"/>
      <c r="P66" s="29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5.75" customHeight="1" x14ac:dyDescent="0.25">
      <c r="A67" s="23"/>
      <c r="B67" s="30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2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5.75" customHeight="1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9.75" customHeight="1" x14ac:dyDescent="0.4">
      <c r="A69" s="23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.75" customHeight="1" x14ac:dyDescent="0.25">
      <c r="A70" s="23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21" x14ac:dyDescent="0.4">
      <c r="A71" s="63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64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5.75" customHeight="1" x14ac:dyDescent="0.25">
      <c r="A72" s="6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64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5.75" customHeight="1" x14ac:dyDescent="0.25">
      <c r="A73" s="6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64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5.75" customHeight="1" x14ac:dyDescent="0.3">
      <c r="A74" s="63"/>
      <c r="B74" s="53"/>
      <c r="C74" s="59"/>
      <c r="D74" s="53"/>
      <c r="E74" s="59"/>
      <c r="F74" s="59"/>
      <c r="G74" s="53"/>
      <c r="H74" s="59"/>
      <c r="I74" s="59"/>
      <c r="J74" s="53"/>
      <c r="K74" s="53"/>
      <c r="L74" s="53"/>
      <c r="M74" s="53"/>
      <c r="N74" s="53"/>
      <c r="O74" s="53"/>
      <c r="P74" s="53"/>
      <c r="Q74" s="64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5.75" customHeight="1" x14ac:dyDescent="0.3">
      <c r="A75" s="63"/>
      <c r="B75" s="53"/>
      <c r="C75" s="60"/>
      <c r="D75" s="53"/>
      <c r="E75" s="61"/>
      <c r="F75" s="61"/>
      <c r="G75" s="53"/>
      <c r="H75" s="61"/>
      <c r="I75" s="61"/>
      <c r="J75" s="53"/>
      <c r="K75" s="53"/>
      <c r="L75" s="53"/>
      <c r="M75" s="53"/>
      <c r="N75" s="53"/>
      <c r="O75" s="53"/>
      <c r="P75" s="53"/>
      <c r="Q75" s="64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5.75" customHeight="1" x14ac:dyDescent="0.25">
      <c r="A76" s="6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64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5.75" customHeight="1" x14ac:dyDescent="0.3">
      <c r="A77" s="63"/>
      <c r="B77" s="53"/>
      <c r="C77" s="59"/>
      <c r="D77" s="53"/>
      <c r="E77" s="59"/>
      <c r="F77" s="59"/>
      <c r="G77" s="53"/>
      <c r="H77" s="59"/>
      <c r="I77" s="59"/>
      <c r="J77" s="53"/>
      <c r="K77" s="53"/>
      <c r="L77" s="53"/>
      <c r="M77" s="53"/>
      <c r="N77" s="53"/>
      <c r="O77" s="53"/>
      <c r="P77" s="53"/>
      <c r="Q77" s="64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5.75" customHeight="1" x14ac:dyDescent="0.3">
      <c r="A78" s="63"/>
      <c r="B78" s="53"/>
      <c r="C78" s="60"/>
      <c r="D78" s="53"/>
      <c r="E78" s="61"/>
      <c r="F78" s="61"/>
      <c r="G78" s="53"/>
      <c r="H78" s="61"/>
      <c r="I78" s="61"/>
      <c r="J78" s="53"/>
      <c r="K78" s="53"/>
      <c r="L78" s="53"/>
      <c r="M78" s="53"/>
      <c r="N78" s="53"/>
      <c r="O78" s="53"/>
      <c r="P78" s="53"/>
      <c r="Q78" s="64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5.75" customHeight="1" x14ac:dyDescent="0.25">
      <c r="A79" s="6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64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5.75" customHeight="1" x14ac:dyDescent="0.3">
      <c r="A80" s="63"/>
      <c r="B80" s="53"/>
      <c r="C80" s="59"/>
      <c r="D80" s="54"/>
      <c r="E80" s="54"/>
      <c r="F80" s="53"/>
      <c r="G80" s="59"/>
      <c r="H80" s="54"/>
      <c r="I80" s="54"/>
      <c r="J80" s="54"/>
      <c r="K80" s="53"/>
      <c r="L80" s="59"/>
      <c r="M80" s="55"/>
      <c r="N80" s="55"/>
      <c r="O80" s="55"/>
      <c r="P80" s="53"/>
      <c r="Q80" s="64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5.75" customHeight="1" x14ac:dyDescent="0.3">
      <c r="A81" s="63"/>
      <c r="B81" s="53"/>
      <c r="C81" s="59"/>
      <c r="D81" s="54"/>
      <c r="E81" s="54"/>
      <c r="F81" s="53"/>
      <c r="G81" s="59"/>
      <c r="H81" s="54"/>
      <c r="I81" s="54"/>
      <c r="J81" s="54"/>
      <c r="K81" s="53"/>
      <c r="L81" s="59"/>
      <c r="M81" s="55"/>
      <c r="N81" s="55"/>
      <c r="O81" s="55"/>
      <c r="P81" s="53"/>
      <c r="Q81" s="64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5.75" customHeight="1" x14ac:dyDescent="0.3">
      <c r="A82" s="63"/>
      <c r="B82" s="53"/>
      <c r="C82" s="59"/>
      <c r="D82" s="54"/>
      <c r="E82" s="54"/>
      <c r="F82" s="53"/>
      <c r="G82" s="59"/>
      <c r="H82" s="54"/>
      <c r="I82" s="54"/>
      <c r="J82" s="54"/>
      <c r="K82" s="53"/>
      <c r="L82" s="59"/>
      <c r="M82" s="55"/>
      <c r="N82" s="55"/>
      <c r="O82" s="55"/>
      <c r="P82" s="53"/>
      <c r="Q82" s="64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5.75" customHeight="1" x14ac:dyDescent="0.25">
      <c r="A83" s="6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64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5.75" customHeight="1" x14ac:dyDescent="0.3">
      <c r="A84" s="63"/>
      <c r="B84" s="53"/>
      <c r="C84" s="62"/>
      <c r="D84" s="62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53"/>
      <c r="Q84" s="64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5.75" customHeight="1" x14ac:dyDescent="0.3">
      <c r="A85" s="63"/>
      <c r="B85" s="53"/>
      <c r="C85" s="62"/>
      <c r="D85" s="62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53"/>
      <c r="Q85" s="64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5.75" customHeight="1" x14ac:dyDescent="0.25">
      <c r="A86" s="63"/>
      <c r="B86" s="53"/>
      <c r="C86" s="53"/>
      <c r="D86" s="53"/>
      <c r="E86" s="56"/>
      <c r="F86" s="56"/>
      <c r="G86" s="56"/>
      <c r="H86" s="56"/>
      <c r="I86" s="53"/>
      <c r="J86" s="53"/>
      <c r="K86" s="53"/>
      <c r="L86" s="53"/>
      <c r="M86" s="53"/>
      <c r="N86" s="53"/>
      <c r="O86" s="53"/>
      <c r="P86" s="53"/>
      <c r="Q86" s="64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5.75" customHeight="1" x14ac:dyDescent="0.3">
      <c r="A87" s="63"/>
      <c r="B87" s="53"/>
      <c r="C87" s="59"/>
      <c r="D87" s="59"/>
      <c r="E87" s="57"/>
      <c r="F87" s="57"/>
      <c r="G87" s="57"/>
      <c r="H87" s="57"/>
      <c r="I87" s="53"/>
      <c r="J87" s="59"/>
      <c r="K87" s="59"/>
      <c r="L87" s="53"/>
      <c r="M87" s="53"/>
      <c r="N87" s="53"/>
      <c r="O87" s="53"/>
      <c r="P87" s="53"/>
      <c r="Q87" s="64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5.75" customHeight="1" x14ac:dyDescent="0.3">
      <c r="A88" s="63"/>
      <c r="B88" s="53"/>
      <c r="C88" s="59"/>
      <c r="D88" s="59"/>
      <c r="E88" s="57"/>
      <c r="F88" s="57"/>
      <c r="G88" s="57"/>
      <c r="H88" s="57"/>
      <c r="I88" s="53"/>
      <c r="J88" s="59"/>
      <c r="K88" s="59"/>
      <c r="L88" s="53"/>
      <c r="M88" s="53"/>
      <c r="N88" s="53"/>
      <c r="O88" s="53"/>
      <c r="P88" s="53"/>
      <c r="Q88" s="64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5.75" customHeight="1" x14ac:dyDescent="0.3">
      <c r="A89" s="63"/>
      <c r="B89" s="53"/>
      <c r="C89" s="59"/>
      <c r="D89" s="59"/>
      <c r="E89" s="57"/>
      <c r="F89" s="57"/>
      <c r="G89" s="57"/>
      <c r="H89" s="57"/>
      <c r="I89" s="53"/>
      <c r="J89" s="59"/>
      <c r="K89" s="59"/>
      <c r="L89" s="53"/>
      <c r="M89" s="53"/>
      <c r="N89" s="53"/>
      <c r="O89" s="53"/>
      <c r="P89" s="53"/>
      <c r="Q89" s="64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5.75" customHeight="1" x14ac:dyDescent="0.25">
      <c r="A90" s="64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64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5.75" customHeight="1" x14ac:dyDescent="0.25">
      <c r="A91" s="64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64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5.75" customHeight="1" x14ac:dyDescent="0.4">
      <c r="A92" s="64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64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5.75" customHeight="1" x14ac:dyDescent="0.25">
      <c r="A93" s="35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5"/>
      <c r="Q93" s="64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5.75" customHeight="1" x14ac:dyDescent="0.2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6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5.75" customHeight="1" x14ac:dyDescent="0.2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5.75" customHeight="1" x14ac:dyDescent="0.2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5.75" customHeight="1" x14ac:dyDescent="0.2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5.75" customHeight="1" x14ac:dyDescent="0.2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5.75" customHeight="1" x14ac:dyDescent="0.2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5.75" customHeight="1" x14ac:dyDescent="0.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5.75" customHeight="1" x14ac:dyDescent="0.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5.75" customHeight="1" x14ac:dyDescent="0.2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5.75" customHeight="1" x14ac:dyDescent="0.2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5.75" customHeight="1" x14ac:dyDescent="0.2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5.75" customHeight="1" x14ac:dyDescent="0.2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5.75" customHeight="1" x14ac:dyDescent="0.2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5.75" customHeight="1" x14ac:dyDescent="0.2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5.75" customHeight="1" x14ac:dyDescent="0.2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5.75" customHeight="1" x14ac:dyDescent="0.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5.75" customHeight="1" x14ac:dyDescent="0.2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5.75" customHeight="1" x14ac:dyDescent="0.2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5.75" customHeight="1" x14ac:dyDescent="0.2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5.75" customHeight="1" x14ac:dyDescent="0.2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5.75" customHeight="1" x14ac:dyDescent="0.2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5.75" customHeight="1" x14ac:dyDescent="0.2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5.75" customHeight="1" x14ac:dyDescent="0.2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5.75" customHeight="1" x14ac:dyDescent="0.2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5.75" customHeight="1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5.75" customHeight="1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5.75" customHeight="1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5.75" customHeight="1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5.75" customHeight="1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5.75" customHeight="1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5.75" customHeight="1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5.75" customHeight="1" x14ac:dyDescent="0.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5.75" customHeight="1" x14ac:dyDescent="0.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5.75" customHeight="1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5.75" customHeight="1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5.75" customHeight="1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5.75" customHeight="1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5.75" customHeight="1" x14ac:dyDescent="0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5.75" customHeight="1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5.75" customHeight="1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5.75" customHeight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5.75" customHeight="1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5.75" customHeight="1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5.75" customHeight="1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5.75" customHeight="1" x14ac:dyDescent="0.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5.75" customHeight="1" x14ac:dyDescent="0.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5.75" customHeight="1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5.75" customHeight="1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5.75" customHeight="1" x14ac:dyDescent="0.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5.75" customHeight="1" x14ac:dyDescent="0.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5.75" customHeight="1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5.75" customHeight="1" x14ac:dyDescent="0.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5.75" customHeight="1" x14ac:dyDescent="0.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5.75" customHeight="1" x14ac:dyDescent="0.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5.75" customHeight="1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5.75" customHeight="1" x14ac:dyDescent="0.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5.75" customHeight="1" x14ac:dyDescent="0.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5.75" customHeight="1" x14ac:dyDescent="0.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5.75" customHeight="1" x14ac:dyDescent="0.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5.75" customHeight="1" x14ac:dyDescent="0.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5.75" customHeight="1" x14ac:dyDescent="0.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5.75" customHeight="1" x14ac:dyDescent="0.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5.75" customHeight="1" x14ac:dyDescent="0.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5.75" customHeight="1" x14ac:dyDescent="0.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5.75" customHeight="1" x14ac:dyDescent="0.2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5.75" customHeight="1" x14ac:dyDescent="0.2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5.75" customHeight="1" x14ac:dyDescent="0.2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5.75" customHeight="1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5.75" customHeight="1" x14ac:dyDescent="0.2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5.75" customHeight="1" x14ac:dyDescent="0.2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5.75" customHeight="1" x14ac:dyDescent="0.2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5.75" customHeight="1" x14ac:dyDescent="0.2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5.75" customHeight="1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5.75" customHeight="1" x14ac:dyDescent="0.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5.75" customHeight="1" x14ac:dyDescent="0.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5.75" customHeight="1" x14ac:dyDescent="0.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5.75" customHeight="1" x14ac:dyDescent="0.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5.75" customHeight="1" x14ac:dyDescent="0.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5.75" customHeight="1" x14ac:dyDescent="0.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5.75" customHeight="1" x14ac:dyDescent="0.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5.75" customHeight="1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5.75" customHeight="1" x14ac:dyDescent="0.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5.75" customHeight="1" x14ac:dyDescent="0.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5.75" customHeight="1" x14ac:dyDescent="0.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5.75" customHeight="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5.75" customHeight="1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5.75" customHeight="1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5.75" customHeight="1" x14ac:dyDescent="0.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5.75" customHeight="1" x14ac:dyDescent="0.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5.75" customHeight="1" x14ac:dyDescent="0.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5.75" customHeight="1" x14ac:dyDescent="0.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5.75" customHeight="1" x14ac:dyDescent="0.2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5.75" customHeight="1" x14ac:dyDescent="0.2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5.75" customHeight="1" x14ac:dyDescent="0.2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5.75" customHeight="1" x14ac:dyDescent="0.2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5.75" customHeight="1" x14ac:dyDescent="0.2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5.75" customHeight="1" x14ac:dyDescent="0.2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5.75" customHeight="1" x14ac:dyDescent="0.2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5.75" customHeight="1" x14ac:dyDescent="0.2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5.75" customHeight="1" x14ac:dyDescent="0.2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5.75" customHeight="1" x14ac:dyDescent="0.2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5.75" customHeight="1" x14ac:dyDescent="0.2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5.75" customHeight="1" x14ac:dyDescent="0.2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5.75" customHeight="1" x14ac:dyDescent="0.2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5.75" customHeight="1" x14ac:dyDescent="0.2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5.75" customHeight="1" x14ac:dyDescent="0.2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5.75" customHeight="1" x14ac:dyDescent="0.2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5.75" customHeight="1" x14ac:dyDescent="0.2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5.75" customHeight="1" x14ac:dyDescent="0.2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5.75" customHeight="1" x14ac:dyDescent="0.2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5.75" customHeight="1" x14ac:dyDescent="0.2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5.75" customHeight="1" x14ac:dyDescent="0.2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5.75" customHeight="1" x14ac:dyDescent="0.2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5.75" customHeight="1" x14ac:dyDescent="0.2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5.75" customHeight="1" x14ac:dyDescent="0.2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5.75" customHeight="1" x14ac:dyDescent="0.2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5.75" customHeight="1" x14ac:dyDescent="0.2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5.75" customHeight="1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5.75" customHeight="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5.75" customHeight="1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5.75" customHeight="1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5.75" customHeight="1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5.75" customHeight="1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5.75" customHeight="1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5.7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5.75" customHeight="1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5.75" customHeight="1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5.75" customHeight="1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5.75" customHeight="1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5.75" customHeight="1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customHeight="1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5.75" customHeight="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5.75" customHeight="1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5.75" customHeight="1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5.75" customHeight="1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5.75" customHeight="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5.75" customHeight="1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5.75" customHeight="1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5.75" customHeight="1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5.75" customHeight="1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5.75" customHeight="1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5.75" customHeight="1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5.75" customHeight="1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5.75" customHeight="1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5.75" customHeight="1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5.75" customHeight="1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5.75" customHeight="1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5.75" customHeight="1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5.75" customHeight="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5.75" customHeight="1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5.75" customHeight="1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5.75" customHeight="1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customHeight="1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5.75" customHeight="1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5.75" customHeight="1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5.75" customHeight="1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5.75" customHeight="1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5.75" customHeight="1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5.75" customHeight="1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5.75" customHeight="1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5.75" customHeight="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5.75" customHeight="1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5.75" customHeight="1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5.75" customHeight="1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5.75" customHeight="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5.75" customHeight="1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5.75" customHeight="1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5.75" customHeight="1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5.75" customHeight="1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5.75" customHeight="1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5.75" customHeight="1" x14ac:dyDescent="0.2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5.75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5.75" customHeight="1" x14ac:dyDescent="0.2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5.75" customHeight="1" x14ac:dyDescent="0.2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5.75" customHeight="1" x14ac:dyDescent="0.2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5.75" customHeight="1" x14ac:dyDescent="0.2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5.75" customHeight="1" x14ac:dyDescent="0.2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5.75" customHeight="1" x14ac:dyDescent="0.2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5.75" customHeight="1" x14ac:dyDescent="0.2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5.75" customHeight="1" x14ac:dyDescent="0.2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5.75" customHeight="1" x14ac:dyDescent="0.2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5.7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5.7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5.75" customHeight="1" x14ac:dyDescent="0.2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5.75" customHeight="1" x14ac:dyDescent="0.2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5.75" customHeight="1" x14ac:dyDescent="0.2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5.75" customHeight="1" x14ac:dyDescent="0.2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5.75" customHeight="1" x14ac:dyDescent="0.2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5.75" customHeight="1" x14ac:dyDescent="0.2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5.75" customHeight="1" x14ac:dyDescent="0.2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5.75" customHeight="1" x14ac:dyDescent="0.2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5.75" customHeight="1" x14ac:dyDescent="0.2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5.75" customHeight="1" x14ac:dyDescent="0.2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5.75" customHeight="1" x14ac:dyDescent="0.2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5.75" customHeight="1" x14ac:dyDescent="0.2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5.75" customHeight="1" x14ac:dyDescent="0.2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5.75" customHeight="1" x14ac:dyDescent="0.2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5.75" customHeight="1" x14ac:dyDescent="0.2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5.75" customHeight="1" x14ac:dyDescent="0.2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5.75" customHeight="1" x14ac:dyDescent="0.2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5.75" customHeight="1" x14ac:dyDescent="0.2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5.75" customHeight="1" x14ac:dyDescent="0.2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5.75" customHeight="1" x14ac:dyDescent="0.2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5.75" customHeight="1" x14ac:dyDescent="0.2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5.75" customHeight="1" x14ac:dyDescent="0.2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5.75" customHeight="1" x14ac:dyDescent="0.2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5.75" customHeight="1" x14ac:dyDescent="0.2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5.75" customHeight="1" x14ac:dyDescent="0.2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5.75" customHeight="1" x14ac:dyDescent="0.2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5.75" customHeight="1" x14ac:dyDescent="0.2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5.75" customHeight="1" x14ac:dyDescent="0.2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5.75" customHeight="1" x14ac:dyDescent="0.2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5.75" customHeight="1" x14ac:dyDescent="0.2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5.75" customHeight="1" x14ac:dyDescent="0.2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5.75" customHeight="1" x14ac:dyDescent="0.2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5.75" customHeight="1" x14ac:dyDescent="0.2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5.75" customHeight="1" x14ac:dyDescent="0.2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5.75" customHeight="1" x14ac:dyDescent="0.2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5.75" customHeight="1" x14ac:dyDescent="0.2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5.75" customHeight="1" x14ac:dyDescent="0.2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5.75" customHeight="1" x14ac:dyDescent="0.2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5.75" customHeight="1" x14ac:dyDescent="0.2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5.75" customHeight="1" x14ac:dyDescent="0.2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5.75" customHeight="1" x14ac:dyDescent="0.2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5.75" customHeight="1" x14ac:dyDescent="0.2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5.75" customHeight="1" x14ac:dyDescent="0.2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5.75" customHeight="1" x14ac:dyDescent="0.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5.75" customHeight="1" x14ac:dyDescent="0.2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5.75" customHeight="1" x14ac:dyDescent="0.2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5.75" customHeight="1" x14ac:dyDescent="0.2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5.75" customHeight="1" x14ac:dyDescent="0.2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5.75" customHeight="1" x14ac:dyDescent="0.2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5.75" customHeight="1" x14ac:dyDescent="0.2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5.75" customHeight="1" x14ac:dyDescent="0.2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5.75" customHeight="1" x14ac:dyDescent="0.2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5.75" customHeight="1" x14ac:dyDescent="0.2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5.75" customHeight="1" x14ac:dyDescent="0.2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5.75" customHeight="1" x14ac:dyDescent="0.2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5.75" customHeight="1" x14ac:dyDescent="0.2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5.75" customHeight="1" x14ac:dyDescent="0.2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5.75" customHeight="1" x14ac:dyDescent="0.2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5.75" customHeight="1" x14ac:dyDescent="0.2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5.75" customHeight="1" x14ac:dyDescent="0.2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5.75" customHeight="1" x14ac:dyDescent="0.2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5.75" customHeight="1" x14ac:dyDescent="0.2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5.75" customHeight="1" x14ac:dyDescent="0.2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5.75" customHeight="1" x14ac:dyDescent="0.2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5.75" customHeight="1" x14ac:dyDescent="0.2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5.75" customHeight="1" x14ac:dyDescent="0.2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5.75" customHeight="1" x14ac:dyDescent="0.2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5.75" customHeight="1" x14ac:dyDescent="0.2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5.75" customHeight="1" x14ac:dyDescent="0.2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5.75" customHeight="1" x14ac:dyDescent="0.2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5.75" customHeight="1" x14ac:dyDescent="0.2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5.75" customHeight="1" x14ac:dyDescent="0.2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5.75" customHeight="1" x14ac:dyDescent="0.2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5.75" customHeight="1" x14ac:dyDescent="0.2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5.75" customHeight="1" x14ac:dyDescent="0.2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5.75" customHeight="1" x14ac:dyDescent="0.2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5.75" customHeight="1" x14ac:dyDescent="0.2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5.75" customHeight="1" x14ac:dyDescent="0.2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5.75" customHeight="1" x14ac:dyDescent="0.2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5.75" customHeight="1" x14ac:dyDescent="0.2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5.75" customHeight="1" x14ac:dyDescent="0.2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5.75" customHeight="1" x14ac:dyDescent="0.2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5.75" customHeight="1" x14ac:dyDescent="0.2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5.75" customHeight="1" x14ac:dyDescent="0.2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5.75" customHeight="1" x14ac:dyDescent="0.2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5.75" customHeight="1" x14ac:dyDescent="0.2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5.75" customHeight="1" x14ac:dyDescent="0.2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5.75" customHeight="1" x14ac:dyDescent="0.2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5.75" customHeight="1" x14ac:dyDescent="0.2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5.75" customHeight="1" x14ac:dyDescent="0.2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5.75" customHeight="1" x14ac:dyDescent="0.2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5.75" customHeight="1" x14ac:dyDescent="0.2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5.75" customHeight="1" x14ac:dyDescent="0.2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5.75" customHeight="1" x14ac:dyDescent="0.2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5.75" customHeight="1" x14ac:dyDescent="0.2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5.75" customHeight="1" x14ac:dyDescent="0.2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5.75" customHeight="1" x14ac:dyDescent="0.2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5.75" customHeight="1" x14ac:dyDescent="0.2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5.75" customHeight="1" x14ac:dyDescent="0.2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5.75" customHeight="1" x14ac:dyDescent="0.2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5.75" customHeight="1" x14ac:dyDescent="0.2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5.75" customHeight="1" x14ac:dyDescent="0.2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5.75" customHeight="1" x14ac:dyDescent="0.2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5.75" customHeight="1" x14ac:dyDescent="0.2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5.75" customHeight="1" x14ac:dyDescent="0.2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5.75" customHeight="1" x14ac:dyDescent="0.2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5.75" customHeight="1" x14ac:dyDescent="0.2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5.75" customHeight="1" x14ac:dyDescent="0.2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5.75" customHeight="1" x14ac:dyDescent="0.2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5.75" customHeight="1" x14ac:dyDescent="0.2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5.75" customHeight="1" x14ac:dyDescent="0.2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5.75" customHeight="1" x14ac:dyDescent="0.2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5.75" customHeight="1" x14ac:dyDescent="0.2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5.75" customHeight="1" x14ac:dyDescent="0.2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5.75" customHeight="1" x14ac:dyDescent="0.2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5.75" customHeight="1" x14ac:dyDescent="0.2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5.75" customHeight="1" x14ac:dyDescent="0.2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5.75" customHeight="1" x14ac:dyDescent="0.2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5.75" customHeight="1" x14ac:dyDescent="0.2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5.75" customHeight="1" x14ac:dyDescent="0.2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5.75" customHeight="1" x14ac:dyDescent="0.2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5.75" customHeight="1" x14ac:dyDescent="0.2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5.75" customHeight="1" x14ac:dyDescent="0.2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5.75" customHeight="1" x14ac:dyDescent="0.2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5.75" customHeight="1" x14ac:dyDescent="0.2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5.75" customHeight="1" x14ac:dyDescent="0.2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5.75" customHeight="1" x14ac:dyDescent="0.2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5.75" customHeight="1" x14ac:dyDescent="0.2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5.75" customHeight="1" x14ac:dyDescent="0.2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5.75" customHeight="1" x14ac:dyDescent="0.2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5.75" customHeight="1" x14ac:dyDescent="0.2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5.75" customHeight="1" x14ac:dyDescent="0.2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5.75" customHeight="1" x14ac:dyDescent="0.2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5.75" customHeight="1" x14ac:dyDescent="0.2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5.75" customHeight="1" x14ac:dyDescent="0.2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5.75" customHeight="1" x14ac:dyDescent="0.2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5.75" customHeight="1" x14ac:dyDescent="0.2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5.75" customHeight="1" x14ac:dyDescent="0.2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5.75" customHeight="1" x14ac:dyDescent="0.2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customHeight="1" x14ac:dyDescent="0.2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5.75" customHeight="1" x14ac:dyDescent="0.2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5.75" customHeight="1" x14ac:dyDescent="0.2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5.75" customHeight="1" x14ac:dyDescent="0.2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5.75" customHeight="1" x14ac:dyDescent="0.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5.75" customHeight="1" x14ac:dyDescent="0.2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5.75" customHeight="1" x14ac:dyDescent="0.2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5.75" customHeight="1" x14ac:dyDescent="0.2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5.75" customHeight="1" x14ac:dyDescent="0.2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5.75" customHeight="1" x14ac:dyDescent="0.2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5.75" customHeight="1" x14ac:dyDescent="0.2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customHeight="1" x14ac:dyDescent="0.2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customHeight="1" x14ac:dyDescent="0.2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5.75" customHeight="1" x14ac:dyDescent="0.2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5.75" customHeight="1" x14ac:dyDescent="0.2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5.75" customHeight="1" x14ac:dyDescent="0.2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customHeight="1" x14ac:dyDescent="0.2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5.75" customHeight="1" x14ac:dyDescent="0.2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5.75" customHeight="1" x14ac:dyDescent="0.2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5.75" customHeight="1" x14ac:dyDescent="0.2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5.75" customHeight="1" x14ac:dyDescent="0.2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5.75" customHeight="1" x14ac:dyDescent="0.2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5.75" customHeight="1" x14ac:dyDescent="0.2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5.75" customHeight="1" x14ac:dyDescent="0.2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5.75" customHeight="1" x14ac:dyDescent="0.2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5.75" customHeight="1" x14ac:dyDescent="0.2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5.75" customHeight="1" x14ac:dyDescent="0.2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5.75" customHeight="1" x14ac:dyDescent="0.2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5.75" customHeight="1" x14ac:dyDescent="0.2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5.75" customHeight="1" x14ac:dyDescent="0.2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5.75" customHeight="1" x14ac:dyDescent="0.2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5.75" customHeight="1" x14ac:dyDescent="0.2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5.75" customHeight="1" x14ac:dyDescent="0.2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5.75" customHeight="1" x14ac:dyDescent="0.2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5.75" customHeight="1" x14ac:dyDescent="0.2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5.75" customHeight="1" x14ac:dyDescent="0.2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5.75" customHeight="1" x14ac:dyDescent="0.2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5.75" customHeight="1" x14ac:dyDescent="0.2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5.75" customHeight="1" x14ac:dyDescent="0.2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5.75" customHeight="1" x14ac:dyDescent="0.2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5.75" customHeight="1" x14ac:dyDescent="0.2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5.75" customHeight="1" x14ac:dyDescent="0.2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customHeight="1" x14ac:dyDescent="0.2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5.75" customHeight="1" x14ac:dyDescent="0.2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5.75" customHeight="1" x14ac:dyDescent="0.2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5.75" customHeight="1" x14ac:dyDescent="0.2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5.75" customHeight="1" x14ac:dyDescent="0.2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5.75" customHeight="1" x14ac:dyDescent="0.2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5.75" customHeight="1" x14ac:dyDescent="0.2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5.75" customHeight="1" x14ac:dyDescent="0.2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customHeight="1" x14ac:dyDescent="0.2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5.75" customHeight="1" x14ac:dyDescent="0.2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5.75" customHeight="1" x14ac:dyDescent="0.2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5.75" customHeight="1" x14ac:dyDescent="0.2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5.75" customHeight="1" x14ac:dyDescent="0.2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5.75" customHeight="1" x14ac:dyDescent="0.2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5.75" customHeight="1" x14ac:dyDescent="0.2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5.75" customHeight="1" x14ac:dyDescent="0.2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5.75" customHeight="1" x14ac:dyDescent="0.2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5.75" customHeight="1" x14ac:dyDescent="0.2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5.75" customHeight="1" x14ac:dyDescent="0.2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5.75" customHeight="1" x14ac:dyDescent="0.2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5.75" customHeight="1" x14ac:dyDescent="0.2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5.75" customHeight="1" x14ac:dyDescent="0.2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5.75" customHeight="1" x14ac:dyDescent="0.2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5.75" customHeight="1" x14ac:dyDescent="0.2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5.75" customHeight="1" x14ac:dyDescent="0.2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5.75" customHeight="1" x14ac:dyDescent="0.2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5.75" customHeight="1" x14ac:dyDescent="0.2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5.75" customHeight="1" x14ac:dyDescent="0.2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5.75" customHeight="1" x14ac:dyDescent="0.2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5.75" customHeight="1" x14ac:dyDescent="0.2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5.75" customHeight="1" x14ac:dyDescent="0.2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5.75" customHeight="1" x14ac:dyDescent="0.2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5.75" customHeight="1" x14ac:dyDescent="0.2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5.75" customHeight="1" x14ac:dyDescent="0.2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5.75" customHeight="1" x14ac:dyDescent="0.2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5.75" customHeight="1" x14ac:dyDescent="0.2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5.75" customHeight="1" x14ac:dyDescent="0.2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5.75" customHeight="1" x14ac:dyDescent="0.2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5.75" customHeight="1" x14ac:dyDescent="0.2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5.75" customHeight="1" x14ac:dyDescent="0.2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5.75" customHeight="1" x14ac:dyDescent="0.2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5.75" customHeight="1" x14ac:dyDescent="0.2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5.75" customHeight="1" x14ac:dyDescent="0.2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5.75" customHeight="1" x14ac:dyDescent="0.2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5.75" customHeight="1" x14ac:dyDescent="0.2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5.75" customHeight="1" x14ac:dyDescent="0.2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5.75" customHeight="1" x14ac:dyDescent="0.2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5.75" customHeight="1" x14ac:dyDescent="0.2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5.75" customHeight="1" x14ac:dyDescent="0.2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5.75" customHeight="1" x14ac:dyDescent="0.2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5.75" customHeight="1" x14ac:dyDescent="0.2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5.75" customHeight="1" x14ac:dyDescent="0.2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5.75" customHeight="1" x14ac:dyDescent="0.2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5.75" customHeight="1" x14ac:dyDescent="0.2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5.75" customHeight="1" x14ac:dyDescent="0.2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5.75" customHeight="1" x14ac:dyDescent="0.2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5.75" customHeight="1" x14ac:dyDescent="0.2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5.75" customHeight="1" x14ac:dyDescent="0.2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5.75" customHeight="1" x14ac:dyDescent="0.2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5.75" customHeight="1" x14ac:dyDescent="0.2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5.75" customHeight="1" x14ac:dyDescent="0.2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5.75" customHeight="1" x14ac:dyDescent="0.2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5.75" customHeight="1" x14ac:dyDescent="0.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5.75" customHeight="1" x14ac:dyDescent="0.2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5.75" customHeight="1" x14ac:dyDescent="0.2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5.75" customHeight="1" x14ac:dyDescent="0.2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5.75" customHeight="1" x14ac:dyDescent="0.2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5.75" customHeight="1" x14ac:dyDescent="0.2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5.75" customHeight="1" x14ac:dyDescent="0.2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5.75" customHeight="1" x14ac:dyDescent="0.2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5.75" customHeight="1" x14ac:dyDescent="0.2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5.75" customHeight="1" x14ac:dyDescent="0.2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5.75" customHeight="1" x14ac:dyDescent="0.2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5.75" customHeight="1" x14ac:dyDescent="0.2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5.75" customHeight="1" x14ac:dyDescent="0.2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5.75" customHeight="1" x14ac:dyDescent="0.2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5.75" customHeight="1" x14ac:dyDescent="0.2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5.75" customHeight="1" x14ac:dyDescent="0.2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5.75" customHeight="1" x14ac:dyDescent="0.2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5.75" customHeight="1" x14ac:dyDescent="0.2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5.75" customHeight="1" x14ac:dyDescent="0.2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5.75" customHeight="1" x14ac:dyDescent="0.2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5.75" customHeight="1" x14ac:dyDescent="0.2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5.75" customHeight="1" x14ac:dyDescent="0.2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5.75" customHeight="1" x14ac:dyDescent="0.2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5.75" customHeight="1" x14ac:dyDescent="0.2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5.75" customHeight="1" x14ac:dyDescent="0.2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5.75" customHeight="1" x14ac:dyDescent="0.2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5.75" customHeight="1" x14ac:dyDescent="0.2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5.75" customHeight="1" x14ac:dyDescent="0.2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5.75" customHeight="1" x14ac:dyDescent="0.2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5.75" customHeight="1" x14ac:dyDescent="0.2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5.75" customHeight="1" x14ac:dyDescent="0.2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5.75" customHeight="1" x14ac:dyDescent="0.2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5.75" customHeight="1" x14ac:dyDescent="0.2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5.75" customHeight="1" x14ac:dyDescent="0.2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5.75" customHeight="1" x14ac:dyDescent="0.2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5.75" customHeight="1" x14ac:dyDescent="0.2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5.75" customHeight="1" x14ac:dyDescent="0.2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5.75" customHeight="1" x14ac:dyDescent="0.2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5.75" customHeight="1" x14ac:dyDescent="0.2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5.75" customHeight="1" x14ac:dyDescent="0.2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5.75" customHeight="1" x14ac:dyDescent="0.2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5.75" customHeight="1" x14ac:dyDescent="0.2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5.75" customHeight="1" x14ac:dyDescent="0.2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5.75" customHeight="1" x14ac:dyDescent="0.2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5.75" customHeight="1" x14ac:dyDescent="0.2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5.75" customHeight="1" x14ac:dyDescent="0.2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5.75" customHeight="1" x14ac:dyDescent="0.2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5.75" customHeight="1" x14ac:dyDescent="0.2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5.75" customHeight="1" x14ac:dyDescent="0.2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5.75" customHeight="1" x14ac:dyDescent="0.2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5.75" customHeight="1" x14ac:dyDescent="0.2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5.75" customHeight="1" x14ac:dyDescent="0.2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5.75" customHeight="1" x14ac:dyDescent="0.2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5.75" customHeight="1" x14ac:dyDescent="0.2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5.75" customHeight="1" x14ac:dyDescent="0.2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5.75" customHeight="1" x14ac:dyDescent="0.2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5.75" customHeight="1" x14ac:dyDescent="0.2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5.75" customHeight="1" x14ac:dyDescent="0.2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5.75" customHeight="1" x14ac:dyDescent="0.2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5.75" customHeight="1" x14ac:dyDescent="0.2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5.75" customHeight="1" x14ac:dyDescent="0.2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5.75" customHeight="1" x14ac:dyDescent="0.2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5.75" customHeight="1" x14ac:dyDescent="0.2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5.75" customHeight="1" x14ac:dyDescent="0.2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5.75" customHeight="1" x14ac:dyDescent="0.2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5.75" customHeight="1" x14ac:dyDescent="0.2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5.75" customHeight="1" x14ac:dyDescent="0.2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5.75" customHeight="1" x14ac:dyDescent="0.2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5.75" customHeight="1" x14ac:dyDescent="0.2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5.75" customHeight="1" x14ac:dyDescent="0.2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5.75" customHeight="1" x14ac:dyDescent="0.2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5.75" customHeight="1" x14ac:dyDescent="0.2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5.75" customHeight="1" x14ac:dyDescent="0.2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5.75" customHeight="1" x14ac:dyDescent="0.2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5.75" customHeight="1" x14ac:dyDescent="0.2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5.75" customHeight="1" x14ac:dyDescent="0.2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5.75" customHeight="1" x14ac:dyDescent="0.2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5.75" customHeight="1" x14ac:dyDescent="0.2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5.75" customHeight="1" x14ac:dyDescent="0.2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5.75" customHeight="1" x14ac:dyDescent="0.2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5.75" customHeight="1" x14ac:dyDescent="0.2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5.75" customHeight="1" x14ac:dyDescent="0.2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5.75" customHeight="1" x14ac:dyDescent="0.2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5.75" customHeight="1" x14ac:dyDescent="0.2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5.75" customHeight="1" x14ac:dyDescent="0.2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5.75" customHeight="1" x14ac:dyDescent="0.2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5.75" customHeight="1" x14ac:dyDescent="0.2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5.75" customHeight="1" x14ac:dyDescent="0.2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5.75" customHeight="1" x14ac:dyDescent="0.2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5.75" customHeight="1" x14ac:dyDescent="0.2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5.75" customHeight="1" x14ac:dyDescent="0.2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5.75" customHeight="1" x14ac:dyDescent="0.2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5.75" customHeight="1" x14ac:dyDescent="0.2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5.75" customHeight="1" x14ac:dyDescent="0.2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5.75" customHeight="1" x14ac:dyDescent="0.2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5.75" customHeight="1" x14ac:dyDescent="0.2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5.75" customHeight="1" x14ac:dyDescent="0.2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5.75" customHeight="1" x14ac:dyDescent="0.2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5.75" customHeight="1" x14ac:dyDescent="0.2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5.75" customHeight="1" x14ac:dyDescent="0.2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5.75" customHeight="1" x14ac:dyDescent="0.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5.75" customHeight="1" x14ac:dyDescent="0.2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5.75" customHeight="1" x14ac:dyDescent="0.2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5.75" customHeight="1" x14ac:dyDescent="0.2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5.75" customHeight="1" x14ac:dyDescent="0.2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5.75" customHeight="1" x14ac:dyDescent="0.2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5.75" customHeight="1" x14ac:dyDescent="0.2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5.75" customHeight="1" x14ac:dyDescent="0.2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5.75" customHeight="1" x14ac:dyDescent="0.2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5.75" customHeight="1" x14ac:dyDescent="0.2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5.75" customHeight="1" x14ac:dyDescent="0.2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5.75" customHeight="1" x14ac:dyDescent="0.2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5.75" customHeight="1" x14ac:dyDescent="0.2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5.75" customHeight="1" x14ac:dyDescent="0.2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5.75" customHeight="1" x14ac:dyDescent="0.2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5.75" customHeight="1" x14ac:dyDescent="0.2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5.75" customHeight="1" x14ac:dyDescent="0.2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5.75" customHeight="1" x14ac:dyDescent="0.2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5.75" customHeight="1" x14ac:dyDescent="0.2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5.75" customHeight="1" x14ac:dyDescent="0.2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5.75" customHeight="1" x14ac:dyDescent="0.2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5.75" customHeight="1" x14ac:dyDescent="0.2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5.75" customHeight="1" x14ac:dyDescent="0.2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5.75" customHeight="1" x14ac:dyDescent="0.2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5.75" customHeight="1" x14ac:dyDescent="0.2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5.75" customHeight="1" x14ac:dyDescent="0.2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5.75" customHeight="1" x14ac:dyDescent="0.2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5.75" customHeight="1" x14ac:dyDescent="0.2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5.75" customHeight="1" x14ac:dyDescent="0.2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5.75" customHeight="1" x14ac:dyDescent="0.2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5.75" customHeight="1" x14ac:dyDescent="0.2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5.75" customHeight="1" x14ac:dyDescent="0.2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5.75" customHeight="1" x14ac:dyDescent="0.2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5.75" customHeight="1" x14ac:dyDescent="0.2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5.75" customHeight="1" x14ac:dyDescent="0.2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5.75" customHeight="1" x14ac:dyDescent="0.2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5.75" customHeight="1" x14ac:dyDescent="0.2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5.75" customHeight="1" x14ac:dyDescent="0.2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5.75" customHeight="1" x14ac:dyDescent="0.2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5.75" customHeight="1" x14ac:dyDescent="0.2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5.75" customHeight="1" x14ac:dyDescent="0.2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5.75" customHeight="1" x14ac:dyDescent="0.2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5.75" customHeight="1" x14ac:dyDescent="0.2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5.75" customHeight="1" x14ac:dyDescent="0.2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5.75" customHeight="1" x14ac:dyDescent="0.2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5.75" customHeight="1" x14ac:dyDescent="0.2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5.75" customHeight="1" x14ac:dyDescent="0.2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5.75" customHeight="1" x14ac:dyDescent="0.2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5.75" customHeight="1" x14ac:dyDescent="0.2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5.75" customHeight="1" x14ac:dyDescent="0.2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5.75" customHeight="1" x14ac:dyDescent="0.2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5.75" customHeight="1" x14ac:dyDescent="0.2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5.75" customHeight="1" x14ac:dyDescent="0.2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5.75" customHeight="1" x14ac:dyDescent="0.2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5.75" customHeight="1" x14ac:dyDescent="0.2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5.75" customHeight="1" x14ac:dyDescent="0.2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5.75" customHeight="1" x14ac:dyDescent="0.2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5.75" customHeight="1" x14ac:dyDescent="0.2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5.75" customHeight="1" x14ac:dyDescent="0.2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5.75" customHeight="1" x14ac:dyDescent="0.2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5.75" customHeight="1" x14ac:dyDescent="0.2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5.75" customHeight="1" x14ac:dyDescent="0.2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5.75" customHeight="1" x14ac:dyDescent="0.2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5.75" customHeight="1" x14ac:dyDescent="0.2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5.75" customHeight="1" x14ac:dyDescent="0.2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5.75" customHeight="1" x14ac:dyDescent="0.2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5.75" customHeight="1" x14ac:dyDescent="0.2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5.75" customHeight="1" x14ac:dyDescent="0.2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5.75" customHeight="1" x14ac:dyDescent="0.2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5.75" customHeight="1" x14ac:dyDescent="0.2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5.75" customHeight="1" x14ac:dyDescent="0.2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5.75" customHeight="1" x14ac:dyDescent="0.2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5.75" customHeight="1" x14ac:dyDescent="0.2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5.75" customHeight="1" x14ac:dyDescent="0.2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5.75" customHeight="1" x14ac:dyDescent="0.2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5.75" customHeight="1" x14ac:dyDescent="0.2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5.75" customHeight="1" x14ac:dyDescent="0.2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5.75" customHeight="1" x14ac:dyDescent="0.2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5.75" customHeight="1" x14ac:dyDescent="0.2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5.75" customHeight="1" x14ac:dyDescent="0.2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5.75" customHeight="1" x14ac:dyDescent="0.2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5.75" customHeight="1" x14ac:dyDescent="0.2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5.75" customHeight="1" x14ac:dyDescent="0.2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5.75" customHeight="1" x14ac:dyDescent="0.2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5.75" customHeight="1" x14ac:dyDescent="0.2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5.75" customHeight="1" x14ac:dyDescent="0.2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5.75" customHeight="1" x14ac:dyDescent="0.2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5.75" customHeight="1" x14ac:dyDescent="0.2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5.75" customHeight="1" x14ac:dyDescent="0.2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5.75" customHeight="1" x14ac:dyDescent="0.2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5.75" customHeight="1" x14ac:dyDescent="0.2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5.75" customHeight="1" x14ac:dyDescent="0.2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5.75" customHeight="1" x14ac:dyDescent="0.2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5.75" customHeight="1" x14ac:dyDescent="0.2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5.75" customHeight="1" x14ac:dyDescent="0.2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5.75" customHeight="1" x14ac:dyDescent="0.2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5.75" customHeight="1" x14ac:dyDescent="0.2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5.75" customHeight="1" x14ac:dyDescent="0.2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5.75" customHeight="1" x14ac:dyDescent="0.2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5.75" customHeight="1" x14ac:dyDescent="0.2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5.75" customHeight="1" x14ac:dyDescent="0.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5.75" customHeight="1" x14ac:dyDescent="0.2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5.75" customHeight="1" x14ac:dyDescent="0.2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5.75" customHeight="1" x14ac:dyDescent="0.2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5.75" customHeight="1" x14ac:dyDescent="0.2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5.75" customHeight="1" x14ac:dyDescent="0.2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5.75" customHeight="1" x14ac:dyDescent="0.2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5.75" customHeight="1" x14ac:dyDescent="0.2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5.75" customHeight="1" x14ac:dyDescent="0.2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5.75" customHeight="1" x14ac:dyDescent="0.2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5.75" customHeight="1" x14ac:dyDescent="0.2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5.75" customHeight="1" x14ac:dyDescent="0.2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5.75" customHeight="1" x14ac:dyDescent="0.2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5.75" customHeight="1" x14ac:dyDescent="0.2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5.75" customHeight="1" x14ac:dyDescent="0.2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5.75" customHeight="1" x14ac:dyDescent="0.2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5.75" customHeight="1" x14ac:dyDescent="0.2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5.75" customHeight="1" x14ac:dyDescent="0.2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5.75" customHeight="1" x14ac:dyDescent="0.2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5.75" customHeight="1" x14ac:dyDescent="0.2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5.75" customHeight="1" x14ac:dyDescent="0.2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5.75" customHeight="1" x14ac:dyDescent="0.2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5.75" customHeight="1" x14ac:dyDescent="0.2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5.75" customHeight="1" x14ac:dyDescent="0.2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5.75" customHeight="1" x14ac:dyDescent="0.2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5.75" customHeight="1" x14ac:dyDescent="0.2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5.75" customHeight="1" x14ac:dyDescent="0.2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5.75" customHeight="1" x14ac:dyDescent="0.2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5.75" customHeight="1" x14ac:dyDescent="0.2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5.75" customHeight="1" x14ac:dyDescent="0.2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5.75" customHeight="1" x14ac:dyDescent="0.2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5.75" customHeight="1" x14ac:dyDescent="0.2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5.75" customHeight="1" x14ac:dyDescent="0.2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5.75" customHeight="1" x14ac:dyDescent="0.2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5.75" customHeight="1" x14ac:dyDescent="0.2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5.75" customHeight="1" x14ac:dyDescent="0.2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5.75" customHeight="1" x14ac:dyDescent="0.2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5.75" customHeight="1" x14ac:dyDescent="0.2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5.75" customHeight="1" x14ac:dyDescent="0.2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5.75" customHeight="1" x14ac:dyDescent="0.2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5.75" customHeight="1" x14ac:dyDescent="0.2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5.75" customHeight="1" x14ac:dyDescent="0.2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5.75" customHeight="1" x14ac:dyDescent="0.2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5.75" customHeight="1" x14ac:dyDescent="0.2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5.75" customHeight="1" x14ac:dyDescent="0.2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5.75" customHeight="1" x14ac:dyDescent="0.2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5.75" customHeight="1" x14ac:dyDescent="0.2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5.75" customHeight="1" x14ac:dyDescent="0.2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5.75" customHeight="1" x14ac:dyDescent="0.2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5.75" customHeight="1" x14ac:dyDescent="0.2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5.75" customHeight="1" x14ac:dyDescent="0.2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5.75" customHeight="1" x14ac:dyDescent="0.2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5.75" customHeight="1" x14ac:dyDescent="0.2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5.75" customHeight="1" x14ac:dyDescent="0.2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5.75" customHeight="1" x14ac:dyDescent="0.2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5.75" customHeight="1" x14ac:dyDescent="0.2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5.75" customHeight="1" x14ac:dyDescent="0.2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5.75" customHeight="1" x14ac:dyDescent="0.2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5.75" customHeight="1" x14ac:dyDescent="0.2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5.75" customHeight="1" x14ac:dyDescent="0.2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5.75" customHeight="1" x14ac:dyDescent="0.2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5.75" customHeight="1" x14ac:dyDescent="0.2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5.75" customHeight="1" x14ac:dyDescent="0.2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5.75" customHeight="1" x14ac:dyDescent="0.2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5.75" customHeight="1" x14ac:dyDescent="0.2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5.75" customHeight="1" x14ac:dyDescent="0.2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5.75" customHeight="1" x14ac:dyDescent="0.2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5.75" customHeight="1" x14ac:dyDescent="0.2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5.75" customHeight="1" x14ac:dyDescent="0.2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5.75" customHeight="1" x14ac:dyDescent="0.2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5.75" customHeight="1" x14ac:dyDescent="0.2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5.75" customHeight="1" x14ac:dyDescent="0.2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5.75" customHeight="1" x14ac:dyDescent="0.2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5.75" customHeight="1" x14ac:dyDescent="0.2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5.75" customHeight="1" x14ac:dyDescent="0.2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5.75" customHeight="1" x14ac:dyDescent="0.2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5.75" customHeight="1" x14ac:dyDescent="0.2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5.75" customHeight="1" x14ac:dyDescent="0.2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5.75" customHeight="1" x14ac:dyDescent="0.2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5.75" customHeight="1" x14ac:dyDescent="0.2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5.75" customHeight="1" x14ac:dyDescent="0.2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5.75" customHeight="1" x14ac:dyDescent="0.2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5.75" customHeight="1" x14ac:dyDescent="0.2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5.75" customHeight="1" x14ac:dyDescent="0.2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5.75" customHeight="1" x14ac:dyDescent="0.2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5.75" customHeight="1" x14ac:dyDescent="0.2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5.75" customHeight="1" x14ac:dyDescent="0.2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5.75" customHeight="1" x14ac:dyDescent="0.2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5.75" customHeight="1" x14ac:dyDescent="0.2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5.75" customHeight="1" x14ac:dyDescent="0.2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5.75" customHeight="1" x14ac:dyDescent="0.2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5.75" customHeight="1" x14ac:dyDescent="0.2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5.75" customHeight="1" x14ac:dyDescent="0.2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5.75" customHeight="1" x14ac:dyDescent="0.2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5.75" customHeight="1" x14ac:dyDescent="0.2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5.75" customHeight="1" x14ac:dyDescent="0.2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5.75" customHeight="1" x14ac:dyDescent="0.2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5.75" customHeight="1" x14ac:dyDescent="0.2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5.75" customHeight="1" x14ac:dyDescent="0.2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5.75" customHeight="1" x14ac:dyDescent="0.2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5.75" customHeight="1" x14ac:dyDescent="0.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5.75" customHeight="1" x14ac:dyDescent="0.2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5.75" customHeight="1" x14ac:dyDescent="0.2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5.75" customHeight="1" x14ac:dyDescent="0.2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5.75" customHeight="1" x14ac:dyDescent="0.2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5.75" customHeight="1" x14ac:dyDescent="0.2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5.75" customHeight="1" x14ac:dyDescent="0.2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5.75" customHeight="1" x14ac:dyDescent="0.2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5.75" customHeight="1" x14ac:dyDescent="0.2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5.75" customHeight="1" x14ac:dyDescent="0.2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5.75" customHeight="1" x14ac:dyDescent="0.2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5.75" customHeight="1" x14ac:dyDescent="0.2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5.75" customHeight="1" x14ac:dyDescent="0.2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5.75" customHeight="1" x14ac:dyDescent="0.2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5.75" customHeight="1" x14ac:dyDescent="0.2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5.75" customHeight="1" x14ac:dyDescent="0.2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5.75" customHeight="1" x14ac:dyDescent="0.2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5.75" customHeight="1" x14ac:dyDescent="0.2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5.75" customHeight="1" x14ac:dyDescent="0.2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5.75" customHeight="1" x14ac:dyDescent="0.2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5.75" customHeight="1" x14ac:dyDescent="0.2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5.75" customHeight="1" x14ac:dyDescent="0.2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5.75" customHeight="1" x14ac:dyDescent="0.2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5.75" customHeight="1" x14ac:dyDescent="0.2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5.75" customHeight="1" x14ac:dyDescent="0.2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5.75" customHeight="1" x14ac:dyDescent="0.2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5.75" customHeight="1" x14ac:dyDescent="0.2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5.75" customHeight="1" x14ac:dyDescent="0.2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5.75" customHeight="1" x14ac:dyDescent="0.2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5.75" customHeight="1" x14ac:dyDescent="0.2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5.75" customHeight="1" x14ac:dyDescent="0.2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5.75" customHeight="1" x14ac:dyDescent="0.2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5.75" customHeight="1" x14ac:dyDescent="0.2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5.75" customHeight="1" x14ac:dyDescent="0.2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5.75" customHeight="1" x14ac:dyDescent="0.2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5.75" customHeight="1" x14ac:dyDescent="0.2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5.75" customHeight="1" x14ac:dyDescent="0.2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5.75" customHeight="1" x14ac:dyDescent="0.2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5.75" customHeight="1" x14ac:dyDescent="0.2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5.75" customHeight="1" x14ac:dyDescent="0.2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5.75" customHeight="1" x14ac:dyDescent="0.2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5.75" customHeight="1" x14ac:dyDescent="0.2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5.75" customHeight="1" x14ac:dyDescent="0.2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5.75" customHeight="1" x14ac:dyDescent="0.2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5.75" customHeight="1" x14ac:dyDescent="0.2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5.75" customHeight="1" x14ac:dyDescent="0.2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5.75" customHeight="1" x14ac:dyDescent="0.2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5.75" customHeight="1" x14ac:dyDescent="0.2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5.75" customHeight="1" x14ac:dyDescent="0.2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5.75" customHeight="1" x14ac:dyDescent="0.2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5.75" customHeight="1" x14ac:dyDescent="0.2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5.75" customHeight="1" x14ac:dyDescent="0.2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5.75" customHeight="1" x14ac:dyDescent="0.2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5.75" customHeight="1" x14ac:dyDescent="0.2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5.75" customHeight="1" x14ac:dyDescent="0.2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5.75" customHeight="1" x14ac:dyDescent="0.2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5.75" customHeight="1" x14ac:dyDescent="0.2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5.75" customHeight="1" x14ac:dyDescent="0.2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5.75" customHeight="1" x14ac:dyDescent="0.2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5.75" customHeight="1" x14ac:dyDescent="0.2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5.75" customHeight="1" x14ac:dyDescent="0.2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5.75" customHeight="1" x14ac:dyDescent="0.2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5.75" customHeight="1" x14ac:dyDescent="0.2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5.75" customHeight="1" x14ac:dyDescent="0.2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5.75" customHeight="1" x14ac:dyDescent="0.2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5.75" customHeight="1" x14ac:dyDescent="0.2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5.75" customHeight="1" x14ac:dyDescent="0.2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5.75" customHeight="1" x14ac:dyDescent="0.2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5.75" customHeight="1" x14ac:dyDescent="0.2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5.75" customHeight="1" x14ac:dyDescent="0.2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5.75" customHeight="1" x14ac:dyDescent="0.2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5.75" customHeight="1" x14ac:dyDescent="0.2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5.75" customHeight="1" x14ac:dyDescent="0.2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5.75" customHeight="1" x14ac:dyDescent="0.2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5.75" customHeight="1" x14ac:dyDescent="0.2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5.75" customHeight="1" x14ac:dyDescent="0.2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5.75" customHeight="1" x14ac:dyDescent="0.2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5.75" customHeight="1" x14ac:dyDescent="0.2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5.75" customHeight="1" x14ac:dyDescent="0.2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5.75" customHeight="1" x14ac:dyDescent="0.2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5.75" customHeight="1" x14ac:dyDescent="0.2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5.75" customHeight="1" x14ac:dyDescent="0.2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5.75" customHeight="1" x14ac:dyDescent="0.2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5.75" customHeight="1" x14ac:dyDescent="0.2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5.75" customHeight="1" x14ac:dyDescent="0.2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5.75" customHeight="1" x14ac:dyDescent="0.2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5.75" customHeight="1" x14ac:dyDescent="0.2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5.75" customHeight="1" x14ac:dyDescent="0.2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5.75" customHeight="1" x14ac:dyDescent="0.2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5.75" customHeight="1" x14ac:dyDescent="0.2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5.75" customHeight="1" x14ac:dyDescent="0.2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5.75" customHeight="1" x14ac:dyDescent="0.2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5.75" customHeight="1" x14ac:dyDescent="0.2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5.75" customHeight="1" x14ac:dyDescent="0.2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5.75" customHeight="1" x14ac:dyDescent="0.2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5.75" customHeight="1" x14ac:dyDescent="0.2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5.75" customHeight="1" x14ac:dyDescent="0.2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5.75" customHeight="1" x14ac:dyDescent="0.2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5.75" customHeight="1" x14ac:dyDescent="0.2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5.75" customHeight="1" x14ac:dyDescent="0.2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5.75" customHeight="1" x14ac:dyDescent="0.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5.75" customHeight="1" x14ac:dyDescent="0.2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5.75" customHeight="1" x14ac:dyDescent="0.2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5.75" customHeight="1" x14ac:dyDescent="0.2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5.75" customHeight="1" x14ac:dyDescent="0.2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5.75" customHeight="1" x14ac:dyDescent="0.2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5.75" customHeight="1" x14ac:dyDescent="0.2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5.75" customHeight="1" x14ac:dyDescent="0.2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5.75" customHeight="1" x14ac:dyDescent="0.2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5.75" customHeight="1" x14ac:dyDescent="0.2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5.75" customHeight="1" x14ac:dyDescent="0.2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5.75" customHeight="1" x14ac:dyDescent="0.2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5.75" customHeight="1" x14ac:dyDescent="0.2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5.75" customHeight="1" x14ac:dyDescent="0.2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5.75" customHeight="1" x14ac:dyDescent="0.2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5.75" customHeight="1" x14ac:dyDescent="0.2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5.75" customHeight="1" x14ac:dyDescent="0.2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5.75" customHeight="1" x14ac:dyDescent="0.2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5.75" customHeight="1" x14ac:dyDescent="0.2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5.75" customHeight="1" x14ac:dyDescent="0.2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5.75" customHeight="1" x14ac:dyDescent="0.2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5.75" customHeight="1" x14ac:dyDescent="0.2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5.75" customHeight="1" x14ac:dyDescent="0.2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5.75" customHeight="1" x14ac:dyDescent="0.2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5.75" customHeight="1" x14ac:dyDescent="0.2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5.75" customHeight="1" x14ac:dyDescent="0.2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5.75" customHeight="1" x14ac:dyDescent="0.2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5.75" customHeight="1" x14ac:dyDescent="0.2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5.75" customHeight="1" x14ac:dyDescent="0.2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5.75" customHeight="1" x14ac:dyDescent="0.2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5.75" customHeight="1" x14ac:dyDescent="0.2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5.75" customHeight="1" x14ac:dyDescent="0.2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5.75" customHeight="1" x14ac:dyDescent="0.2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5.75" customHeight="1" x14ac:dyDescent="0.2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5.75" customHeight="1" x14ac:dyDescent="0.2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5.75" customHeight="1" x14ac:dyDescent="0.2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5.75" customHeight="1" x14ac:dyDescent="0.2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5.75" customHeight="1" x14ac:dyDescent="0.2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5.75" customHeight="1" x14ac:dyDescent="0.2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5.75" customHeight="1" x14ac:dyDescent="0.2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5.75" customHeight="1" x14ac:dyDescent="0.2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5.75" customHeight="1" x14ac:dyDescent="0.2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5.75" customHeight="1" x14ac:dyDescent="0.2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5.75" customHeight="1" x14ac:dyDescent="0.2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5.75" customHeight="1" x14ac:dyDescent="0.2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5.75" customHeight="1" x14ac:dyDescent="0.2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5.75" customHeight="1" x14ac:dyDescent="0.2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5.75" customHeight="1" x14ac:dyDescent="0.2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5.75" customHeight="1" x14ac:dyDescent="0.2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5.75" customHeight="1" x14ac:dyDescent="0.2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5.75" customHeight="1" x14ac:dyDescent="0.2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5.75" customHeight="1" x14ac:dyDescent="0.2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5.75" customHeight="1" x14ac:dyDescent="0.2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5.75" customHeight="1" x14ac:dyDescent="0.2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5.75" customHeight="1" x14ac:dyDescent="0.2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5.75" customHeight="1" x14ac:dyDescent="0.2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5.75" customHeight="1" x14ac:dyDescent="0.2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5.75" customHeight="1" x14ac:dyDescent="0.2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5.75" customHeight="1" x14ac:dyDescent="0.2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5.75" customHeight="1" x14ac:dyDescent="0.2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5.75" customHeight="1" x14ac:dyDescent="0.2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5.75" customHeight="1" x14ac:dyDescent="0.2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5.75" customHeight="1" x14ac:dyDescent="0.2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5.75" customHeight="1" x14ac:dyDescent="0.2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5.75" customHeight="1" x14ac:dyDescent="0.2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5.75" customHeight="1" x14ac:dyDescent="0.2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5.75" customHeight="1" x14ac:dyDescent="0.2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5.75" customHeight="1" x14ac:dyDescent="0.2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5.75" customHeight="1" x14ac:dyDescent="0.2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5.75" customHeight="1" x14ac:dyDescent="0.2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5.75" customHeight="1" x14ac:dyDescent="0.2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5.75" customHeight="1" x14ac:dyDescent="0.2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5.75" customHeight="1" x14ac:dyDescent="0.2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5.75" customHeight="1" x14ac:dyDescent="0.2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5.75" customHeight="1" x14ac:dyDescent="0.2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5.75" customHeight="1" x14ac:dyDescent="0.2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5" customHeight="1" x14ac:dyDescent="0.25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5" customHeight="1" x14ac:dyDescent="0.25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spans="1:26" ht="15" customHeight="1" x14ac:dyDescent="0.25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spans="1:26" ht="15" customHeight="1" x14ac:dyDescent="0.25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spans="1:26" ht="15" customHeight="1" x14ac:dyDescent="0.25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 spans="1:26" ht="15" customHeight="1" x14ac:dyDescent="0.25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 spans="1:26" ht="15" customHeight="1" x14ac:dyDescent="0.25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  <row r="1008" spans="1:26" ht="15" customHeight="1" x14ac:dyDescent="0.25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</row>
    <row r="1009" spans="1:26" ht="15" customHeight="1" x14ac:dyDescent="0.25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</row>
    <row r="1010" spans="1:26" ht="15" customHeight="1" x14ac:dyDescent="0.25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</row>
    <row r="1011" spans="1:26" ht="15" customHeight="1" x14ac:dyDescent="0.25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</row>
    <row r="1012" spans="1:26" ht="15" customHeight="1" x14ac:dyDescent="0.25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</row>
    <row r="1013" spans="1:26" ht="15" customHeight="1" x14ac:dyDescent="0.25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</row>
    <row r="1014" spans="1:26" ht="15" customHeight="1" x14ac:dyDescent="0.25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</row>
    <row r="1015" spans="1:26" ht="15" customHeight="1" x14ac:dyDescent="0.25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</row>
    <row r="1016" spans="1:26" ht="15" customHeight="1" x14ac:dyDescent="0.25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</row>
    <row r="1017" spans="1:26" ht="15" customHeight="1" x14ac:dyDescent="0.25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</row>
    <row r="1018" spans="1:26" ht="15" customHeight="1" x14ac:dyDescent="0.25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</row>
    <row r="1019" spans="1:26" ht="15" customHeight="1" x14ac:dyDescent="0.25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</row>
    <row r="1020" spans="1:26" ht="15" customHeight="1" x14ac:dyDescent="0.25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</row>
  </sheetData>
  <mergeCells count="64">
    <mergeCell ref="E54:F54"/>
    <mergeCell ref="H54:I54"/>
    <mergeCell ref="E55:F55"/>
    <mergeCell ref="H55:I55"/>
    <mergeCell ref="B48:P48"/>
    <mergeCell ref="E51:F51"/>
    <mergeCell ref="E52:F52"/>
    <mergeCell ref="H51:I51"/>
    <mergeCell ref="H52:I52"/>
    <mergeCell ref="E43:H45"/>
    <mergeCell ref="J43:K45"/>
    <mergeCell ref="E40:O41"/>
    <mergeCell ref="C40:D41"/>
    <mergeCell ref="C43:D45"/>
    <mergeCell ref="L43:O45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L36:L38"/>
    <mergeCell ref="M36:O38"/>
    <mergeCell ref="C36:C38"/>
    <mergeCell ref="E30:F30"/>
    <mergeCell ref="H30:I30"/>
    <mergeCell ref="E31:F31"/>
    <mergeCell ref="H31:I31"/>
    <mergeCell ref="E33:F33"/>
    <mergeCell ref="H33:I33"/>
    <mergeCell ref="H34:I34"/>
    <mergeCell ref="E34:F34"/>
    <mergeCell ref="D36:E38"/>
    <mergeCell ref="G36:G38"/>
    <mergeCell ref="H36:J38"/>
    <mergeCell ref="E61:O62"/>
    <mergeCell ref="H57:J59"/>
    <mergeCell ref="B69:P69"/>
    <mergeCell ref="C64:D66"/>
    <mergeCell ref="E64:H66"/>
    <mergeCell ref="J64:K66"/>
    <mergeCell ref="L64:O66"/>
    <mergeCell ref="C61:D62"/>
    <mergeCell ref="C57:C59"/>
    <mergeCell ref="D57:E59"/>
    <mergeCell ref="G57:G59"/>
    <mergeCell ref="L57:L59"/>
    <mergeCell ref="M57:O59"/>
  </mergeCells>
  <conditionalFormatting sqref="H10:I11 H31:I32 H52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 C31:C32 C52:C53 C74:C76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Matias Intriago</cp:lastModifiedBy>
  <cp:revision/>
  <dcterms:created xsi:type="dcterms:W3CDTF">2019-10-21T15:37:14Z</dcterms:created>
  <dcterms:modified xsi:type="dcterms:W3CDTF">2025-11-28T03:48:52Z</dcterms:modified>
  <cp:category/>
  <cp:contentStatus/>
</cp:coreProperties>
</file>