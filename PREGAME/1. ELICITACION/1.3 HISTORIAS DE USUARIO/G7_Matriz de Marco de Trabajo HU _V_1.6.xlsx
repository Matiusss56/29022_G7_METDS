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ia_myo4ct1\Downloads\"/>
    </mc:Choice>
  </mc:AlternateContent>
  <xr:revisionPtr revIDLastSave="0" documentId="8_{2B6880B9-F14B-401D-BB71-DA9756C757F5}" xr6:coauthVersionLast="47" xr6:coauthVersionMax="47" xr10:uidLastSave="{00000000-0000-0000-0000-000000000000}"/>
  <bookViews>
    <workbookView xWindow="4800" yWindow="4428" windowWidth="17280" windowHeight="8880" xr2:uid="{00000000-000D-0000-FFFF-FFFF00000000}"/>
  </bookViews>
  <sheets>
    <sheet name="Formato descripción HU" sheetId="1" r:id="rId1"/>
    <sheet name="Historia de Usuari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pha2uaOy/wcoMqVwyuGnnWnMptigrXLdWpYPvfH+IzU="/>
    </ext>
  </extLst>
</workbook>
</file>

<file path=xl/calcChain.xml><?xml version="1.0" encoding="utf-8"?>
<calcChain xmlns="http://schemas.openxmlformats.org/spreadsheetml/2006/main">
  <c r="E64" i="2" l="1"/>
  <c r="M15" i="2"/>
  <c r="E10" i="2"/>
  <c r="H10" i="2"/>
  <c r="C13" i="2"/>
  <c r="E13" i="2"/>
  <c r="H13" i="2"/>
  <c r="D15" i="2"/>
  <c r="H15" i="2"/>
  <c r="E19" i="2"/>
  <c r="E22" i="2"/>
  <c r="L22" i="2"/>
  <c r="E31" i="2"/>
  <c r="H31" i="2"/>
  <c r="C34" i="2"/>
  <c r="E34" i="2"/>
  <c r="H34" i="2"/>
  <c r="D36" i="2"/>
  <c r="H36" i="2"/>
  <c r="M36" i="2"/>
  <c r="E40" i="2"/>
  <c r="E43" i="2"/>
  <c r="L43" i="2"/>
  <c r="E52" i="2"/>
  <c r="H52" i="2"/>
  <c r="C55" i="2"/>
  <c r="E55" i="2"/>
  <c r="H55" i="2"/>
  <c r="D57" i="2"/>
  <c r="H57" i="2"/>
  <c r="M57" i="2"/>
  <c r="E61" i="2"/>
  <c r="L64" i="2"/>
</calcChain>
</file>

<file path=xl/sharedStrings.xml><?xml version="1.0" encoding="utf-8"?>
<sst xmlns="http://schemas.openxmlformats.org/spreadsheetml/2006/main" count="132" uniqueCount="78">
  <si>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</si>
  <si>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</si>
  <si>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</si>
  <si>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</si>
  <si>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</si>
  <si>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</si>
  <si>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</si>
  <si>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</si>
  <si>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</si>
  <si>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</si>
  <si>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</si>
  <si>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</si>
  <si>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</si>
  <si>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</si>
  <si>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</si>
  <si>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</si>
  <si>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Administrador</t>
  </si>
  <si>
    <t>Matias Intriago</t>
  </si>
  <si>
    <t>Alta</t>
  </si>
  <si>
    <t>No iniciado</t>
  </si>
  <si>
    <t>REQ002</t>
  </si>
  <si>
    <t>Administradores</t>
  </si>
  <si>
    <t>César Herrera</t>
  </si>
  <si>
    <t>REQ003</t>
  </si>
  <si>
    <t>Kelly Montalvo</t>
  </si>
  <si>
    <t>.</t>
  </si>
  <si>
    <t xml:space="preserve">Media </t>
  </si>
  <si>
    <t>En proceso</t>
  </si>
  <si>
    <t>Baja</t>
  </si>
  <si>
    <t>Terminado</t>
  </si>
  <si>
    <t>Atrasado</t>
  </si>
  <si>
    <t>HISTORIA DE USUARIO (HU)</t>
  </si>
  <si>
    <t>USUARIO</t>
  </si>
  <si>
    <t>TIEMPO</t>
  </si>
  <si>
    <t>PROG. RESP</t>
  </si>
  <si>
    <t>QUE</t>
  </si>
  <si>
    <t>PARA QUE</t>
  </si>
  <si>
    <t>COMO</t>
  </si>
  <si>
    <t>NOMBRE HISTORIA</t>
  </si>
  <si>
    <t>PRUEBA</t>
  </si>
  <si>
    <t>c</t>
  </si>
  <si>
    <t>El sistema actual de inventario carece de un control de acceso seguro. No existen perfiles individuales ni mecanismos para habilitar o deshabilitar accesos de administradores.</t>
  </si>
  <si>
    <t>Garantizar la seguridad, y control de accesos dentro del sistema de inventario, evitando manipulaciones no autorizadas y mejorando la gestión administrativa por niveles.</t>
  </si>
  <si>
    <t>Verificar que solo administradores con credenciales válidas pueden acceder al sistema. Probar inicio de sesión con usuario y contraseña correctos, incorrectos y con un usuario deshabilitado (debe negar el acceso). Comprobar que el administrador general puede crear, editar y desactivar perfiles, y que dichas acciones quedan registradas en un historial (usuario, fecha, hora y acción). Confirmar que un usuario desactivado no puede volver a acceder ni realizar operaciones en el sistema.</t>
  </si>
  <si>
    <t xml:space="preserve">Categorización de productos en el inventario </t>
  </si>
  <si>
    <t xml:space="preserve">Roles administrativos </t>
  </si>
  <si>
    <t>El sistema actual de inventario no posee una categorización adecuada para los productos (medicinas), dificultando su ordenamiento, búsqueda y gestión eficiente dentro del inventario.</t>
  </si>
  <si>
    <t>Para mejorar la velocidad, precisión y eficiencia en la gestión y localización de productos dentro del inventario.</t>
  </si>
  <si>
    <t>Para verificar este requisito, se comprobará que el sistema permita insertar, modificar, buscar y eliminar productos en la base de datos de manera correcta. Se evaluará que cada producto quede adecuadamente asociado a una categoría válida y que la organización de los elementos siga los criterios establecidos, como categoría, nombre, precio o stock. Además, se realizarán pruebas de búsqueda y filtrado utilizando diferentes combinaciones de datos, así como pruebas con distintos volúmenes de información para validar el rendimiento del sistema. Finalmente, se confirmará con el administrador que la categorización y los filtros cumplen con los requerimientos funcionales establecidos.</t>
  </si>
  <si>
    <t>El sistema de inventario no cuenta con un mecanismo para identificar medicinas próximas a caducar o con stock mínimo, lo que genera pérdidas económicas y desabastecimiento en las sedes.</t>
  </si>
  <si>
    <t>El programa deberá registrar las fechas de caducidad y niveles mínimos de stock para cada medicina, y que le alerte cuando un producto esté por vencer o tenga inventario bajo.</t>
  </si>
  <si>
    <t>El programa deberá organizar los productos mediante categorías claras y filtros de búsqueda avanzados, para facilitar su consulta y administración.</t>
  </si>
  <si>
    <t>El programa deberá implementar un sistema de reconocimiento exclusivo para administradores, con gestión de perfiles que pueda habilitar, crear o desactivar usuarios según los permisos asignados por el administrador en jefe.</t>
  </si>
  <si>
    <t>Para evitar pérdidas por productos vencidos, asegurar la disponibilidad adecuada de medicamentos y mejorar la gestión del inventario.</t>
  </si>
  <si>
    <t>La verificación del requisito se realizará registrando productos en el sistema con fechas de caducidad próximas y niveles de stock inferiores al mínimo establecido. Se comprobará que el sistema muestre correctamente las alertas visuales o mensajes correspondientes para cada caso. También se evaluará que, al actualizar la fecha de caducidad o la cantidad disponible, las alertas se ajusten automáticamente según los nuevos valores. Finalmente, se validará con el administrador que las alertas cumplen con los requerimientos funcionales y permiten gestionar los productos de forma oportuna.</t>
  </si>
  <si>
    <t>Control de caducidad y alertas de stock bajo</t>
  </si>
  <si>
    <t>Mediante la implementación de un proceso de autenticación que valide las credenciales de los administradores antes de permitir el acceso. Este proceso deberá ofrecer herramientas para que el administrador general pueda registrar nuevos usuarios administrativos, actualizar información de perfiles existentes y deshabilitar aquellos que deban quedar sin acceso. Además, el sistema debe asegurar que todas estas acciones se ejecuten de forma segura y queden registradas para mantener un control confiable del acceso.</t>
  </si>
  <si>
    <t>A través de un conjunto de funciones que permitan al administrador organizar los productos del inventario, creando y asignando categorías claras, así como modificarlas cuando sea necesario. Estas funciones también permitirán registrar nuevos productos, actualizar los datos de los existentes y aplicar filtros de búsqueda basados en criterios como nombre, categoría, precio, lote o disponibilidad. Todo este proceso facilitará una clasificación más precisa y una localización rápida de los artículos dentro del inventario.</t>
  </si>
  <si>
    <t>Mediante un proceso de registro y seguimiento que permita al administrador ingresar y modificar la fecha de caducidad y el stock mínimo de cada medicina. La aplicación comparará estos datos con la información actual del inventario para identificar productos que estén próximos a vencer (por ejemplo, dentro de 30 días) o que presenten existencias por debajo del nivel permitido. Cuando se detecte alguna de estas situaciones, se generarán alertas visuales o mensajes que informen al administrador, facilitando la toma de decisiones y la gestión oportuna de los medicamentos.</t>
  </si>
  <si>
    <t>REQ004</t>
  </si>
  <si>
    <t>Al cerrar el programa se puede perder el registro de medicinas; no hay persistencia de datos para reportes futuros.</t>
  </si>
  <si>
    <t>El programa deberá guardar permanentemente las medicinas registradas en una base de datos.</t>
  </si>
  <si>
    <t>Enlazar el programa con MongoDB para mantener los datos aunque se cierre el sistema, y dejar listo el soporte para reportes a futuro.</t>
  </si>
  <si>
    <t>1) Crear BD/cluster en MongoDB (Atlas o local). 2) Instalar y configurar conexión (pymongo + variables de entorno). 3) Crear colección “medicinas” (campos y validaciones básicas). 4) Cambiar “Registrar medicina” para que guarde en MongoDB. 5) Cambiar “Buscar/Ver/Listar” para que lea desde MongoDB. 6) Manejo de errores (sin conexión, datos inválidos). 7) Pruebas y respaldo básico (ej. índice por nombre/lote).</t>
  </si>
  <si>
    <t>Registrar 2 medicinas → cerrar el programa → abrir de nuevo → verificar que siguen apareciendo. Validar también en MongoDB Compass/Atlas que los documentos existen.</t>
  </si>
  <si>
    <t>Persistencia de medicinas en MongoDB</t>
  </si>
  <si>
    <t>REQ005</t>
  </si>
  <si>
    <t>No existe un reporte que resuma la información/actividades registradas de las medicinas y el administrador no puede filtrar por fecha.</t>
  </si>
  <si>
    <t>El programa deberá generar un reporte con todos los datos de la base de datos, filtrable desde una fecha seleccionada.</t>
  </si>
  <si>
    <t>Obtener un resumen/guía del historial de medicinas (registradas, actualizadas, cambios relevantes) para control y futura toma de decisiones.</t>
  </si>
  <si>
    <t>Seleccionar una fecha “desde” → generar reporte → verificar que solo salen registros desde esa fecha. Probar con 3 casos: (1) hay datos, (2) no hay datos, (3) fecha inválida o vacía. Validar que coincide con la consulta en MongoDB (Compass/Atlas).</t>
  </si>
  <si>
    <t>Reporte de medicinas por rango de fecha</t>
  </si>
  <si>
    <t>Para generar el reporte, se agrega una opción “Reporte de medicinas” donde el administrador selecciona en un calendario la fecha “Desde” la cual quiere consultar; al presionar “Generar”, el sistema busca en MongoDB todas las medicinas registradas desde esa fecha en adelante y muestra el resultado en pantalla con un resumen (cantidad de medicinas, stock bajo y próximas a caducar) y una tabla con el detalle completo (nombre, categoría, stock, caducidad, lote, etc.); si no existen registros para ese rango, se presenta el mensaje “No hay registros desde la fecha seleccionada”, y opcionalmente se incluye un botón para descargar el reporte en PDF o Excel.</t>
  </si>
  <si>
    <t>REQ006</t>
  </si>
  <si>
    <t>El sistema no mantiene un registro de los cambios realizados en el inventario. No hay forma de saber quién modificó, agregó o eliminó medicinas, ni cuándo ocurrieron estos cambios, lo que dificulta auditorías y seguimiento.</t>
  </si>
  <si>
    <t>El programa deberá registrar automáticamente todos los movimientos realizados en el inventario (altas, bajas y modificaciones), guardando información detallada de cada acción como fecha, hora, usuario responsable y datos modificados.</t>
  </si>
  <si>
    <t>Tener un control completo y trazabilidad de todos los cambios realizados en las medicinas del inventario, permitiendo realizar auditorías, detectar errores, y mantener un seguimiento histórico confiable de las operaciones del sistema.</t>
  </si>
  <si>
    <t>Mediante la creación de una colección "historial_movimientos" en MongoDB que almacene cada acción realizada. Cuando se registre una medicina nueva, se guardará un movimiento tipo "ALTA"; cuando se edite, se registrará tipo "MODIFICACIÓN" con los datos anteriores y nuevos; y cuando se elimine, tipo "BAJA". Además, se implementará una interfaz donde el administrador pueda consultar este historial, filtrando por fecha, tipo de acción o medicina específica, mostrando toda la información de manera clara y ordenada.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</si>
</sst>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yyyy\-mm\-dd"/>
  </numFmts>
  <fonts count="26"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b/>
      <i/>
      <sz val="12"/>
      <color rgb="FF9C6500"/>
      <name val="Calibri"/>
    </font>
    <font>
      <sz val="11"/>
      <color theme="1"/>
      <name val="Arial"/>
      <scheme val="minor"/>
    </font>
    <font>
      <b/>
      <sz val="11"/>
      <color theme="1"/>
      <name val="Arial"/>
    </font>
    <font>
      <sz val="10"/>
      <color theme="1"/>
      <name val="Calibri"/>
    </font>
    <font>
      <b/>
      <sz val="11"/>
      <color rgb="FFFFFFFF"/>
      <name val="Calibri"/>
    </font>
    <font>
      <b/>
      <sz val="16"/>
      <color theme="0"/>
      <name val="Calibri"/>
    </font>
    <font>
      <sz val="11"/>
      <color theme="0"/>
      <name val="Arial"/>
    </font>
    <font>
      <sz val="12"/>
      <color theme="0"/>
      <name val="Calibri"/>
    </font>
    <font>
      <sz val="11"/>
      <color theme="0"/>
      <name val="Calibri"/>
    </font>
    <font>
      <sz val="9"/>
      <color theme="0"/>
      <name val="Calibri"/>
    </font>
    <font>
      <b/>
      <i/>
      <sz val="12"/>
      <color theme="0"/>
      <name val="Calibri"/>
    </font>
  </fonts>
  <fills count="13">
    <fill>
      <patternFill patternType="none"/>
    </fill>
    <fill>
      <patternFill patternType="gray125"/>
    </fill>
    <fill>
      <patternFill patternType="solid">
        <fgColor rgb="FFFFFFCC"/>
        <bgColor rgb="FFFFFFCC"/>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
      <patternFill patternType="solid">
        <fgColor rgb="FFA5A5A5"/>
        <bgColor rgb="FFA5A5A5"/>
      </patternFill>
    </fill>
    <fill>
      <patternFill patternType="solid">
        <fgColor rgb="FF5B9BD5"/>
        <bgColor rgb="FF5B9BD5"/>
      </patternFill>
    </fill>
    <fill>
      <patternFill patternType="solid">
        <fgColor theme="0"/>
        <bgColor indexed="64"/>
      </patternFill>
    </fill>
    <fill>
      <patternFill patternType="solid">
        <fgColor theme="0"/>
        <bgColor rgb="FFFFFF00"/>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B2B2B2"/>
      </top>
      <bottom/>
      <diagonal/>
    </border>
    <border>
      <left/>
      <right style="thin">
        <color rgb="FFB2B2B2"/>
      </right>
      <top style="thin">
        <color rgb="FFB2B2B2"/>
      </top>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right/>
      <top/>
      <bottom style="thin">
        <color rgb="FF000000"/>
      </bottom>
      <diagonal/>
    </border>
    <border>
      <left style="thin">
        <color rgb="FF000000"/>
      </left>
      <right/>
      <top style="thin">
        <color rgb="FFB2B2B2"/>
      </top>
      <bottom/>
      <diagonal/>
    </border>
    <border>
      <left style="thin">
        <color rgb="FF000000"/>
      </left>
      <right/>
      <top/>
      <bottom style="thin">
        <color rgb="FFB2B2B2"/>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9">
    <xf numFmtId="0" fontId="0" fillId="0" borderId="0" xfId="0" applyFont="1" applyAlignmen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center" vertical="center" wrapText="1"/>
    </xf>
    <xf numFmtId="165" fontId="5" fillId="0" borderId="0" xfId="0" applyNumberFormat="1" applyFont="1" applyAlignment="1">
      <alignment horizontal="center" vertical="center" wrapText="1"/>
    </xf>
    <xf numFmtId="0" fontId="7" fillId="0" borderId="0" xfId="0" applyFont="1" applyAlignment="1">
      <alignment horizontal="center"/>
    </xf>
    <xf numFmtId="0" fontId="8" fillId="0" borderId="0" xfId="0" applyFont="1" applyAlignment="1">
      <alignment horizontal="left" vertical="center" wrapText="1"/>
    </xf>
    <xf numFmtId="0" fontId="9" fillId="0" borderId="0" xfId="0" applyFont="1"/>
    <xf numFmtId="0" fontId="8" fillId="0" borderId="0" xfId="0" applyFont="1" applyAlignment="1">
      <alignment horizontal="center" vertical="center" wrapText="1"/>
    </xf>
    <xf numFmtId="0" fontId="12" fillId="5" borderId="4" xfId="0" applyFont="1" applyFill="1" applyBorder="1" applyAlignment="1">
      <alignment horizontal="center" vertical="center"/>
    </xf>
    <xf numFmtId="0" fontId="11" fillId="4" borderId="14" xfId="0" applyFont="1" applyFill="1" applyBorder="1"/>
    <xf numFmtId="0" fontId="11" fillId="4" borderId="15" xfId="0" applyFont="1" applyFill="1" applyBorder="1"/>
    <xf numFmtId="0" fontId="16" fillId="0" borderId="0" xfId="0" applyFont="1" applyAlignment="1"/>
    <xf numFmtId="0" fontId="8" fillId="4" borderId="16" xfId="0" applyFont="1" applyFill="1" applyBorder="1" applyAlignment="1">
      <alignment horizontal="left" vertical="center" wrapText="1"/>
    </xf>
    <xf numFmtId="0" fontId="9" fillId="4" borderId="16" xfId="0" applyFont="1" applyFill="1" applyBorder="1"/>
    <xf numFmtId="0" fontId="14" fillId="6" borderId="4" xfId="0" applyFont="1" applyFill="1" applyBorder="1" applyAlignment="1">
      <alignment horizontal="center" vertical="center"/>
    </xf>
    <xf numFmtId="0" fontId="11" fillId="4" borderId="17" xfId="0" applyFont="1" applyFill="1" applyBorder="1"/>
    <xf numFmtId="0" fontId="11" fillId="4" borderId="18" xfId="0" applyFont="1" applyFill="1" applyBorder="1"/>
    <xf numFmtId="0" fontId="11" fillId="4" borderId="19" xfId="0" applyFont="1" applyFill="1" applyBorder="1"/>
    <xf numFmtId="0" fontId="11" fillId="0" borderId="0" xfId="0" applyFont="1" applyAlignment="1"/>
    <xf numFmtId="0" fontId="11" fillId="0" borderId="0" xfId="0" applyFont="1"/>
    <xf numFmtId="0" fontId="11" fillId="4" borderId="16" xfId="0" applyFont="1" applyFill="1" applyBorder="1"/>
    <xf numFmtId="0" fontId="11" fillId="4" borderId="16" xfId="0" applyFont="1" applyFill="1" applyBorder="1" applyAlignment="1"/>
    <xf numFmtId="0" fontId="11" fillId="4" borderId="17" xfId="0" applyFont="1" applyFill="1" applyBorder="1" applyAlignment="1"/>
    <xf numFmtId="0" fontId="11" fillId="4" borderId="18" xfId="0" applyFont="1" applyFill="1" applyBorder="1" applyAlignment="1"/>
    <xf numFmtId="0" fontId="11" fillId="4" borderId="19" xfId="0" applyFont="1" applyFill="1" applyBorder="1" applyAlignment="1"/>
    <xf numFmtId="0" fontId="11" fillId="4" borderId="14" xfId="0" applyFont="1" applyFill="1" applyBorder="1" applyAlignment="1"/>
    <xf numFmtId="0" fontId="11" fillId="4" borderId="20" xfId="0" applyFont="1" applyFill="1" applyBorder="1" applyAlignment="1"/>
    <xf numFmtId="0" fontId="11" fillId="4" borderId="15" xfId="0" applyFont="1" applyFill="1" applyBorder="1" applyAlignment="1"/>
    <xf numFmtId="0" fontId="19" fillId="9" borderId="4" xfId="0" applyFont="1" applyFill="1" applyBorder="1" applyAlignment="1">
      <alignment horizontal="center"/>
    </xf>
    <xf numFmtId="0" fontId="14" fillId="3" borderId="4" xfId="0" applyFont="1" applyFill="1" applyBorder="1" applyAlignment="1">
      <alignment horizontal="center"/>
    </xf>
    <xf numFmtId="0" fontId="0" fillId="0" borderId="0" xfId="0" applyFont="1" applyAlignment="1"/>
    <xf numFmtId="0" fontId="7" fillId="3" borderId="17" xfId="0" applyFont="1" applyFill="1" applyBorder="1" applyAlignment="1">
      <alignment horizontal="left"/>
    </xf>
    <xf numFmtId="0" fontId="11" fillId="4" borderId="6" xfId="0" applyFont="1" applyFill="1" applyBorder="1"/>
    <xf numFmtId="0" fontId="11" fillId="4" borderId="7" xfId="0" applyFont="1" applyFill="1" applyBorder="1"/>
    <xf numFmtId="0" fontId="13" fillId="4" borderId="17" xfId="0" applyFont="1" applyFill="1" applyBorder="1" applyAlignment="1">
      <alignment vertical="center"/>
    </xf>
    <xf numFmtId="0" fontId="9" fillId="4" borderId="17" xfId="0" applyFont="1" applyFill="1" applyBorder="1" applyAlignment="1">
      <alignment vertical="center" wrapText="1"/>
    </xf>
    <xf numFmtId="0" fontId="9" fillId="4" borderId="17" xfId="0" applyFont="1" applyFill="1" applyBorder="1" applyAlignment="1">
      <alignment vertical="center"/>
    </xf>
    <xf numFmtId="0" fontId="14" fillId="4" borderId="17" xfId="0" applyFont="1" applyFill="1" applyBorder="1" applyAlignment="1">
      <alignment horizontal="center" vertical="center"/>
    </xf>
    <xf numFmtId="0" fontId="9" fillId="4" borderId="17" xfId="0" applyFont="1" applyFill="1" applyBorder="1" applyAlignment="1">
      <alignment horizontal="center" vertical="center"/>
    </xf>
    <xf numFmtId="0" fontId="11" fillId="4" borderId="17" xfId="0" applyFont="1" applyFill="1" applyBorder="1" applyAlignment="1">
      <alignment horizontal="center"/>
    </xf>
    <xf numFmtId="0" fontId="11" fillId="4" borderId="20" xfId="0" applyFont="1" applyFill="1" applyBorder="1"/>
    <xf numFmtId="0" fontId="17" fillId="4" borderId="17" xfId="0" applyFont="1" applyFill="1" applyBorder="1"/>
    <xf numFmtId="0" fontId="8" fillId="4" borderId="17" xfId="0" applyFont="1" applyFill="1" applyBorder="1" applyAlignment="1">
      <alignment horizontal="center" vertical="center"/>
    </xf>
    <xf numFmtId="0" fontId="11" fillId="4" borderId="6" xfId="0" applyFont="1" applyFill="1" applyBorder="1" applyAlignment="1"/>
    <xf numFmtId="0" fontId="11" fillId="4" borderId="7" xfId="0" applyFont="1" applyFill="1" applyBorder="1" applyAlignment="1"/>
    <xf numFmtId="0" fontId="21" fillId="11" borderId="17" xfId="0" applyFont="1" applyFill="1" applyBorder="1" applyAlignment="1"/>
    <xf numFmtId="0" fontId="23" fillId="11" borderId="17" xfId="0" applyFont="1" applyFill="1" applyBorder="1" applyAlignment="1">
      <alignment wrapText="1"/>
    </xf>
    <xf numFmtId="0" fontId="24" fillId="11" borderId="17" xfId="0" applyFont="1" applyFill="1" applyBorder="1" applyAlignment="1">
      <alignment wrapText="1"/>
    </xf>
    <xf numFmtId="49" fontId="21" fillId="11" borderId="17" xfId="0" applyNumberFormat="1" applyFont="1" applyFill="1" applyBorder="1" applyAlignment="1"/>
    <xf numFmtId="49" fontId="23" fillId="11" borderId="17" xfId="0" applyNumberFormat="1" applyFont="1" applyFill="1" applyBorder="1" applyAlignment="1">
      <alignment wrapText="1"/>
    </xf>
    <xf numFmtId="0" fontId="20" fillId="11" borderId="17" xfId="0" applyFont="1" applyFill="1" applyBorder="1" applyAlignment="1">
      <alignment wrapText="1"/>
    </xf>
    <xf numFmtId="0" fontId="12" fillId="11" borderId="17" xfId="0" applyFont="1" applyFill="1" applyBorder="1" applyAlignment="1"/>
    <xf numFmtId="0" fontId="22" fillId="11" borderId="17" xfId="0" applyFont="1" applyFill="1" applyBorder="1" applyAlignment="1"/>
    <xf numFmtId="0" fontId="23" fillId="11" borderId="17" xfId="0" applyFont="1" applyFill="1" applyBorder="1" applyAlignment="1"/>
    <xf numFmtId="0" fontId="25" fillId="11" borderId="17" xfId="0" applyFont="1" applyFill="1" applyBorder="1" applyAlignment="1"/>
    <xf numFmtId="0" fontId="11" fillId="0" borderId="17" xfId="0" applyFont="1" applyBorder="1" applyAlignment="1"/>
    <xf numFmtId="0" fontId="0" fillId="0" borderId="17" xfId="0" applyFont="1" applyBorder="1" applyAlignment="1"/>
    <xf numFmtId="0" fontId="0" fillId="11" borderId="17" xfId="0" applyFont="1" applyFill="1" applyBorder="1" applyAlignment="1"/>
    <xf numFmtId="0" fontId="5" fillId="0" borderId="17" xfId="0" applyFont="1" applyBorder="1" applyAlignment="1">
      <alignment horizontal="center" vertical="center" wrapText="1"/>
    </xf>
    <xf numFmtId="0" fontId="6" fillId="0" borderId="17" xfId="0" applyFont="1" applyBorder="1" applyAlignment="1">
      <alignment horizontal="center" vertical="center" wrapText="1"/>
    </xf>
    <xf numFmtId="0" fontId="6" fillId="3" borderId="17" xfId="0" applyFont="1" applyFill="1" applyBorder="1" applyAlignment="1">
      <alignment horizontal="center" vertical="center" wrapText="1"/>
    </xf>
    <xf numFmtId="165" fontId="5" fillId="0" borderId="17" xfId="0" applyNumberFormat="1" applyFont="1" applyBorder="1" applyAlignment="1">
      <alignment horizontal="center" vertical="center" wrapText="1"/>
    </xf>
    <xf numFmtId="0" fontId="1" fillId="0" borderId="17" xfId="0" applyFont="1" applyBorder="1"/>
    <xf numFmtId="0" fontId="5" fillId="11" borderId="5" xfId="0" applyFont="1" applyFill="1" applyBorder="1" applyAlignment="1">
      <alignment horizontal="center" vertical="center" wrapText="1"/>
    </xf>
    <xf numFmtId="165" fontId="5" fillId="11" borderId="5" xfId="0" applyNumberFormat="1" applyFont="1" applyFill="1" applyBorder="1" applyAlignment="1">
      <alignment horizontal="center" vertical="center" wrapText="1"/>
    </xf>
    <xf numFmtId="49" fontId="5" fillId="11" borderId="5" xfId="0" applyNumberFormat="1" applyFont="1" applyFill="1" applyBorder="1" applyAlignment="1">
      <alignment horizontal="center" vertical="center" wrapText="1"/>
    </xf>
    <xf numFmtId="0" fontId="5" fillId="12" borderId="4" xfId="0" applyFont="1" applyFill="1" applyBorder="1" applyAlignment="1">
      <alignment horizontal="center" vertical="center" wrapText="1"/>
    </xf>
    <xf numFmtId="164" fontId="5" fillId="12" borderId="4" xfId="0" applyNumberFormat="1" applyFont="1" applyFill="1" applyBorder="1" applyAlignment="1">
      <alignment horizontal="center" vertical="center" wrapText="1"/>
    </xf>
    <xf numFmtId="49" fontId="5" fillId="12" borderId="4" xfId="0" applyNumberFormat="1" applyFont="1" applyFill="1" applyBorder="1" applyAlignment="1">
      <alignment horizontal="center" vertical="center" wrapText="1"/>
    </xf>
    <xf numFmtId="165" fontId="5" fillId="12" borderId="4" xfId="0" applyNumberFormat="1" applyFont="1" applyFill="1" applyBorder="1" applyAlignment="1">
      <alignment horizontal="center" vertical="center" wrapText="1"/>
    </xf>
    <xf numFmtId="14" fontId="5" fillId="12" borderId="4" xfId="0" applyNumberFormat="1"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applyAlignment="1"/>
    <xf numFmtId="0" fontId="3" fillId="0" borderId="3" xfId="0" applyFont="1" applyBorder="1" applyAlignment="1"/>
    <xf numFmtId="0" fontId="19" fillId="9" borderId="1" xfId="0" applyFont="1" applyFill="1" applyBorder="1" applyAlignment="1">
      <alignment horizontal="center"/>
    </xf>
    <xf numFmtId="0" fontId="19" fillId="9" borderId="3" xfId="0" applyFont="1" applyFill="1" applyBorder="1" applyAlignment="1">
      <alignment horizontal="center"/>
    </xf>
    <xf numFmtId="0" fontId="9" fillId="3" borderId="1" xfId="0" applyFont="1" applyFill="1" applyBorder="1" applyAlignment="1">
      <alignment horizontal="center"/>
    </xf>
    <xf numFmtId="0" fontId="9" fillId="3" borderId="3" xfId="0" applyFont="1" applyFill="1" applyBorder="1" applyAlignment="1">
      <alignment horizontal="center"/>
    </xf>
    <xf numFmtId="0" fontId="10" fillId="4" borderId="1" xfId="0" applyFont="1" applyFill="1" applyBorder="1" applyAlignment="1">
      <alignment horizontal="center" wrapText="1"/>
    </xf>
    <xf numFmtId="0" fontId="10" fillId="4" borderId="2" xfId="0" applyFont="1" applyFill="1" applyBorder="1" applyAlignment="1">
      <alignment horizontal="center" wrapText="1"/>
    </xf>
    <xf numFmtId="0" fontId="10" fillId="4" borderId="3" xfId="0" applyFont="1" applyFill="1" applyBorder="1" applyAlignment="1">
      <alignment horizontal="center" wrapText="1"/>
    </xf>
    <xf numFmtId="0" fontId="9" fillId="6" borderId="1" xfId="0" applyFont="1" applyFill="1" applyBorder="1" applyAlignment="1">
      <alignment horizontal="center" vertical="center"/>
    </xf>
    <xf numFmtId="0" fontId="9" fillId="6" borderId="3" xfId="0" applyFont="1" applyFill="1" applyBorder="1" applyAlignment="1">
      <alignment horizontal="center" vertical="center"/>
    </xf>
    <xf numFmtId="49" fontId="9" fillId="6" borderId="6" xfId="0" applyNumberFormat="1" applyFont="1" applyFill="1" applyBorder="1" applyAlignment="1">
      <alignment horizontal="left" vertical="center" wrapText="1"/>
    </xf>
    <xf numFmtId="49" fontId="9" fillId="6" borderId="16" xfId="0" applyNumberFormat="1" applyFont="1" applyFill="1" applyBorder="1" applyAlignment="1">
      <alignment horizontal="left" vertical="center" wrapText="1"/>
    </xf>
    <xf numFmtId="49" fontId="9" fillId="6" borderId="7" xfId="0" applyNumberFormat="1" applyFont="1" applyFill="1" applyBorder="1" applyAlignment="1">
      <alignment horizontal="left" vertical="center" wrapText="1"/>
    </xf>
    <xf numFmtId="49" fontId="9" fillId="6" borderId="18" xfId="0" applyNumberFormat="1" applyFont="1" applyFill="1" applyBorder="1" applyAlignment="1">
      <alignment horizontal="left" vertical="center" wrapText="1"/>
    </xf>
    <xf numFmtId="49" fontId="9" fillId="6" borderId="17" xfId="0" applyNumberFormat="1" applyFont="1" applyFill="1" applyBorder="1" applyAlignment="1">
      <alignment horizontal="left" vertical="center" wrapText="1"/>
    </xf>
    <xf numFmtId="49" fontId="9" fillId="6" borderId="19" xfId="0" applyNumberFormat="1" applyFont="1" applyFill="1" applyBorder="1" applyAlignment="1">
      <alignment horizontal="left" vertical="center" wrapText="1"/>
    </xf>
    <xf numFmtId="49" fontId="9" fillId="6" borderId="14" xfId="0" applyNumberFormat="1" applyFont="1" applyFill="1" applyBorder="1" applyAlignment="1">
      <alignment horizontal="left" vertical="center" wrapText="1"/>
    </xf>
    <xf numFmtId="49" fontId="9" fillId="6" borderId="20" xfId="0" applyNumberFormat="1" applyFont="1" applyFill="1" applyBorder="1" applyAlignment="1">
      <alignment horizontal="left" vertical="center" wrapText="1"/>
    </xf>
    <xf numFmtId="49" fontId="9" fillId="6" borderId="15" xfId="0" applyNumberFormat="1" applyFont="1" applyFill="1" applyBorder="1" applyAlignment="1">
      <alignment horizontal="left" vertical="center" wrapText="1"/>
    </xf>
    <xf numFmtId="0" fontId="12" fillId="5" borderId="6"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1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14" xfId="0" applyFont="1" applyFill="1" applyBorder="1" applyAlignment="1">
      <alignment horizontal="center" vertical="center"/>
    </xf>
    <xf numFmtId="0" fontId="12" fillId="5" borderId="15" xfId="0" applyFont="1" applyFill="1" applyBorder="1" applyAlignment="1">
      <alignment horizontal="center" vertical="center"/>
    </xf>
    <xf numFmtId="0" fontId="14" fillId="2" borderId="21"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12" xfId="0" applyFont="1" applyFill="1" applyBorder="1" applyAlignment="1">
      <alignment horizontal="center" vertical="center"/>
    </xf>
    <xf numFmtId="0" fontId="14" fillId="2" borderId="13" xfId="0" applyFont="1" applyFill="1" applyBorder="1" applyAlignment="1">
      <alignment horizontal="center" vertical="center"/>
    </xf>
    <xf numFmtId="0" fontId="15" fillId="8" borderId="6" xfId="0" applyFont="1" applyFill="1" applyBorder="1" applyAlignment="1">
      <alignment horizontal="center" vertical="center"/>
    </xf>
    <xf numFmtId="0" fontId="15" fillId="8" borderId="7" xfId="0" applyFont="1" applyFill="1" applyBorder="1" applyAlignment="1">
      <alignment horizontal="center" vertical="center"/>
    </xf>
    <xf numFmtId="0" fontId="15" fillId="8" borderId="14" xfId="0" applyFont="1" applyFill="1" applyBorder="1" applyAlignment="1">
      <alignment horizontal="center" vertical="center"/>
    </xf>
    <xf numFmtId="0" fontId="15" fillId="8" borderId="15" xfId="0" applyFont="1" applyFill="1" applyBorder="1" applyAlignment="1">
      <alignment horizontal="center" vertical="center"/>
    </xf>
    <xf numFmtId="0" fontId="9" fillId="6" borderId="6" xfId="0" applyFont="1" applyFill="1" applyBorder="1" applyAlignment="1">
      <alignment horizontal="center" vertical="center" wrapText="1"/>
    </xf>
    <xf numFmtId="0" fontId="9" fillId="6" borderId="16"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4"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2" fillId="7" borderId="5" xfId="0" applyFont="1" applyFill="1" applyBorder="1" applyAlignment="1">
      <alignment horizontal="center" vertical="center"/>
    </xf>
    <xf numFmtId="0" fontId="12" fillId="7" borderId="8" xfId="0" applyFont="1" applyFill="1" applyBorder="1" applyAlignment="1">
      <alignment horizontal="center" vertical="center"/>
    </xf>
    <xf numFmtId="0" fontId="12" fillId="7" borderId="9" xfId="0" applyFont="1" applyFill="1" applyBorder="1" applyAlignment="1">
      <alignment horizontal="center" vertical="center"/>
    </xf>
    <xf numFmtId="0" fontId="9" fillId="6" borderId="6" xfId="0" applyFont="1" applyFill="1" applyBorder="1" applyAlignment="1">
      <alignment horizontal="left" vertical="center"/>
    </xf>
    <xf numFmtId="0" fontId="9" fillId="6" borderId="16" xfId="0" applyFont="1" applyFill="1" applyBorder="1" applyAlignment="1">
      <alignment horizontal="left" vertical="center"/>
    </xf>
    <xf numFmtId="0" fontId="9" fillId="6" borderId="7" xfId="0" applyFont="1" applyFill="1" applyBorder="1" applyAlignment="1">
      <alignment horizontal="left" vertical="center"/>
    </xf>
    <xf numFmtId="0" fontId="9" fillId="6" borderId="18" xfId="0" applyFont="1" applyFill="1" applyBorder="1" applyAlignment="1">
      <alignment horizontal="left" vertical="center"/>
    </xf>
    <xf numFmtId="0" fontId="9" fillId="6" borderId="17" xfId="0" applyFont="1" applyFill="1" applyBorder="1" applyAlignment="1">
      <alignment horizontal="left" vertical="center"/>
    </xf>
    <xf numFmtId="0" fontId="9" fillId="6" borderId="19" xfId="0" applyFont="1" applyFill="1" applyBorder="1" applyAlignment="1">
      <alignment horizontal="left" vertical="center"/>
    </xf>
    <xf numFmtId="0" fontId="9" fillId="6" borderId="14" xfId="0" applyFont="1" applyFill="1" applyBorder="1" applyAlignment="1">
      <alignment horizontal="left" vertical="center"/>
    </xf>
    <xf numFmtId="0" fontId="9" fillId="6" borderId="20" xfId="0" applyFont="1" applyFill="1" applyBorder="1" applyAlignment="1">
      <alignment horizontal="left" vertical="center"/>
    </xf>
    <xf numFmtId="0" fontId="9" fillId="6" borderId="15" xfId="0" applyFont="1" applyFill="1" applyBorder="1" applyAlignment="1">
      <alignment horizontal="left" vertical="center"/>
    </xf>
    <xf numFmtId="0" fontId="12" fillId="5" borderId="1" xfId="0" applyFont="1" applyFill="1" applyBorder="1" applyAlignment="1">
      <alignment horizontal="center" vertical="center"/>
    </xf>
    <xf numFmtId="0" fontId="12" fillId="5" borderId="3" xfId="0" applyFont="1" applyFill="1" applyBorder="1" applyAlignment="1">
      <alignment horizontal="center" vertical="center"/>
    </xf>
    <xf numFmtId="0" fontId="18" fillId="6" borderId="6" xfId="0" applyFont="1" applyFill="1" applyBorder="1" applyAlignment="1">
      <alignment horizontal="left" vertical="center" wrapText="1"/>
    </xf>
    <xf numFmtId="0" fontId="18" fillId="6" borderId="16" xfId="0" applyFont="1" applyFill="1" applyBorder="1" applyAlignment="1">
      <alignment horizontal="left" vertical="center" wrapText="1"/>
    </xf>
    <xf numFmtId="0" fontId="18" fillId="6" borderId="7" xfId="0" applyFont="1" applyFill="1" applyBorder="1" applyAlignment="1">
      <alignment horizontal="left" vertical="center" wrapText="1"/>
    </xf>
    <xf numFmtId="0" fontId="18" fillId="6" borderId="18" xfId="0" applyFont="1" applyFill="1" applyBorder="1" applyAlignment="1">
      <alignment horizontal="left" vertical="center" wrapText="1"/>
    </xf>
    <xf numFmtId="0" fontId="18" fillId="6" borderId="17" xfId="0" applyFont="1" applyFill="1" applyBorder="1" applyAlignment="1">
      <alignment horizontal="left" vertical="center" wrapText="1"/>
    </xf>
    <xf numFmtId="0" fontId="18" fillId="6" borderId="19" xfId="0" applyFont="1" applyFill="1" applyBorder="1" applyAlignment="1">
      <alignment horizontal="left" vertical="center" wrapText="1"/>
    </xf>
    <xf numFmtId="0" fontId="18" fillId="6" borderId="14" xfId="0" applyFont="1" applyFill="1" applyBorder="1" applyAlignment="1">
      <alignment horizontal="left" vertical="center" wrapText="1"/>
    </xf>
    <xf numFmtId="0" fontId="18" fillId="6" borderId="20" xfId="0" applyFont="1" applyFill="1" applyBorder="1" applyAlignment="1">
      <alignment horizontal="left" vertical="center" wrapText="1"/>
    </xf>
    <xf numFmtId="0" fontId="18" fillId="6" borderId="15" xfId="0" applyFont="1" applyFill="1" applyBorder="1" applyAlignment="1">
      <alignment horizontal="left" vertical="center" wrapText="1"/>
    </xf>
    <xf numFmtId="0" fontId="14" fillId="2" borderId="21" xfId="0" applyFont="1" applyFill="1" applyBorder="1" applyAlignment="1">
      <alignment horizontal="center"/>
    </xf>
    <xf numFmtId="0" fontId="14" fillId="2" borderId="10" xfId="0" applyFont="1" applyFill="1" applyBorder="1" applyAlignment="1">
      <alignment horizontal="center"/>
    </xf>
    <xf numFmtId="0" fontId="14" fillId="2" borderId="11" xfId="0" applyFont="1" applyFill="1" applyBorder="1" applyAlignment="1">
      <alignment horizontal="center"/>
    </xf>
    <xf numFmtId="0" fontId="14" fillId="2" borderId="22" xfId="0" applyFont="1" applyFill="1" applyBorder="1" applyAlignment="1">
      <alignment horizontal="center"/>
    </xf>
    <xf numFmtId="0" fontId="14" fillId="2" borderId="12" xfId="0" applyFont="1" applyFill="1" applyBorder="1" applyAlignment="1">
      <alignment horizontal="center"/>
    </xf>
    <xf numFmtId="0" fontId="14" fillId="2" borderId="13" xfId="0" applyFont="1" applyFill="1" applyBorder="1" applyAlignment="1">
      <alignment horizontal="center"/>
    </xf>
    <xf numFmtId="0" fontId="9" fillId="3" borderId="6" xfId="0" applyFont="1" applyFill="1" applyBorder="1" applyAlignment="1">
      <alignment horizontal="center" wrapText="1"/>
    </xf>
    <xf numFmtId="0" fontId="9" fillId="3" borderId="16" xfId="0" applyFont="1" applyFill="1" applyBorder="1" applyAlignment="1">
      <alignment horizontal="center" wrapText="1"/>
    </xf>
    <xf numFmtId="0" fontId="9" fillId="3" borderId="7" xfId="0" applyFont="1" applyFill="1" applyBorder="1" applyAlignment="1">
      <alignment horizontal="center" wrapText="1"/>
    </xf>
    <xf numFmtId="0" fontId="9" fillId="3" borderId="18" xfId="0" applyFont="1" applyFill="1" applyBorder="1" applyAlignment="1">
      <alignment horizontal="center" wrapText="1"/>
    </xf>
    <xf numFmtId="0" fontId="9" fillId="3" borderId="17" xfId="0" applyFont="1" applyFill="1" applyBorder="1" applyAlignment="1">
      <alignment horizontal="center" wrapText="1"/>
    </xf>
    <xf numFmtId="0" fontId="9" fillId="3" borderId="19" xfId="0" applyFont="1" applyFill="1" applyBorder="1" applyAlignment="1">
      <alignment horizontal="center" wrapText="1"/>
    </xf>
    <xf numFmtId="0" fontId="9" fillId="3" borderId="14" xfId="0" applyFont="1" applyFill="1" applyBorder="1" applyAlignment="1">
      <alignment horizontal="center" wrapText="1"/>
    </xf>
    <xf numFmtId="0" fontId="9" fillId="3" borderId="20" xfId="0" applyFont="1" applyFill="1" applyBorder="1" applyAlignment="1">
      <alignment horizontal="center" wrapText="1"/>
    </xf>
    <xf numFmtId="0" fontId="9" fillId="3" borderId="15" xfId="0" applyFont="1" applyFill="1" applyBorder="1" applyAlignment="1">
      <alignment horizontal="center" wrapText="1"/>
    </xf>
    <xf numFmtId="0" fontId="10" fillId="0" borderId="0" xfId="0" applyFont="1" applyAlignment="1">
      <alignment horizontal="center" wrapText="1"/>
    </xf>
    <xf numFmtId="0" fontId="19" fillId="9" borderId="6" xfId="0" applyFont="1" applyFill="1" applyBorder="1" applyAlignment="1">
      <alignment horizontal="center"/>
    </xf>
    <xf numFmtId="0" fontId="19" fillId="9" borderId="7" xfId="0" applyFont="1" applyFill="1" applyBorder="1" applyAlignment="1">
      <alignment horizontal="center"/>
    </xf>
    <xf numFmtId="0" fontId="19" fillId="9" borderId="18" xfId="0" applyFont="1" applyFill="1" applyBorder="1" applyAlignment="1">
      <alignment horizontal="center"/>
    </xf>
    <xf numFmtId="0" fontId="19" fillId="9" borderId="19" xfId="0" applyFont="1" applyFill="1" applyBorder="1" applyAlignment="1">
      <alignment horizontal="center"/>
    </xf>
    <xf numFmtId="0" fontId="19" fillId="9" borderId="14" xfId="0" applyFont="1" applyFill="1" applyBorder="1" applyAlignment="1">
      <alignment horizontal="center"/>
    </xf>
    <xf numFmtId="0" fontId="19" fillId="9" borderId="15" xfId="0" applyFont="1" applyFill="1" applyBorder="1" applyAlignment="1">
      <alignment horizontal="center"/>
    </xf>
    <xf numFmtId="49" fontId="18" fillId="3" borderId="6" xfId="0" applyNumberFormat="1" applyFont="1" applyFill="1" applyBorder="1" applyAlignment="1">
      <alignment wrapText="1"/>
    </xf>
    <xf numFmtId="49" fontId="18" fillId="3" borderId="16" xfId="0" applyNumberFormat="1" applyFont="1" applyFill="1" applyBorder="1" applyAlignment="1">
      <alignment wrapText="1"/>
    </xf>
    <xf numFmtId="49" fontId="18" fillId="3" borderId="7" xfId="0" applyNumberFormat="1" applyFont="1" applyFill="1" applyBorder="1" applyAlignment="1">
      <alignment wrapText="1"/>
    </xf>
    <xf numFmtId="49" fontId="18" fillId="3" borderId="18" xfId="0" applyNumberFormat="1" applyFont="1" applyFill="1" applyBorder="1" applyAlignment="1">
      <alignment wrapText="1"/>
    </xf>
    <xf numFmtId="49" fontId="18" fillId="3" borderId="17" xfId="0" applyNumberFormat="1" applyFont="1" applyFill="1" applyBorder="1" applyAlignment="1">
      <alignment wrapText="1"/>
    </xf>
    <xf numFmtId="49" fontId="18" fillId="3" borderId="19" xfId="0" applyNumberFormat="1" applyFont="1" applyFill="1" applyBorder="1" applyAlignment="1">
      <alignment wrapText="1"/>
    </xf>
    <xf numFmtId="49" fontId="18" fillId="3" borderId="14" xfId="0" applyNumberFormat="1" applyFont="1" applyFill="1" applyBorder="1" applyAlignment="1">
      <alignment wrapText="1"/>
    </xf>
    <xf numFmtId="49" fontId="18" fillId="3" borderId="20" xfId="0" applyNumberFormat="1" applyFont="1" applyFill="1" applyBorder="1" applyAlignment="1">
      <alignment wrapText="1"/>
    </xf>
    <xf numFmtId="49" fontId="18" fillId="3" borderId="15" xfId="0" applyNumberFormat="1" applyFont="1" applyFill="1" applyBorder="1" applyAlignment="1">
      <alignment wrapText="1"/>
    </xf>
    <xf numFmtId="0" fontId="0" fillId="3" borderId="6" xfId="0" applyFont="1" applyFill="1" applyBorder="1" applyAlignment="1">
      <alignment wrapText="1"/>
    </xf>
    <xf numFmtId="0" fontId="0" fillId="3" borderId="16" xfId="0" applyFont="1" applyFill="1" applyBorder="1" applyAlignment="1">
      <alignment wrapText="1"/>
    </xf>
    <xf numFmtId="0" fontId="0" fillId="3" borderId="7" xfId="0" applyFont="1" applyFill="1" applyBorder="1" applyAlignment="1">
      <alignment wrapText="1"/>
    </xf>
    <xf numFmtId="0" fontId="0" fillId="3" borderId="18" xfId="0" applyFont="1" applyFill="1" applyBorder="1" applyAlignment="1">
      <alignment wrapText="1"/>
    </xf>
    <xf numFmtId="0" fontId="0" fillId="3" borderId="17" xfId="0" applyFont="1" applyFill="1" applyBorder="1" applyAlignment="1">
      <alignment wrapText="1"/>
    </xf>
    <xf numFmtId="0" fontId="0" fillId="3" borderId="19" xfId="0" applyFont="1" applyFill="1" applyBorder="1" applyAlignment="1">
      <alignment wrapText="1"/>
    </xf>
    <xf numFmtId="0" fontId="0" fillId="3" borderId="14" xfId="0" applyFont="1" applyFill="1" applyBorder="1" applyAlignment="1">
      <alignment wrapText="1"/>
    </xf>
    <xf numFmtId="0" fontId="0" fillId="3" borderId="20" xfId="0" applyFont="1" applyFill="1" applyBorder="1" applyAlignment="1">
      <alignment wrapText="1"/>
    </xf>
    <xf numFmtId="0" fontId="0" fillId="3" borderId="15" xfId="0" applyFont="1" applyFill="1" applyBorder="1" applyAlignment="1">
      <alignment wrapText="1"/>
    </xf>
    <xf numFmtId="0" fontId="15" fillId="8" borderId="6" xfId="0" applyFont="1" applyFill="1" applyBorder="1" applyAlignment="1">
      <alignment horizontal="center"/>
    </xf>
    <xf numFmtId="0" fontId="15" fillId="8" borderId="7" xfId="0" applyFont="1" applyFill="1" applyBorder="1" applyAlignment="1">
      <alignment horizontal="center"/>
    </xf>
    <xf numFmtId="0" fontId="15" fillId="8" borderId="14" xfId="0" applyFont="1" applyFill="1" applyBorder="1" applyAlignment="1">
      <alignment horizontal="center"/>
    </xf>
    <xf numFmtId="0" fontId="15" fillId="8" borderId="15" xfId="0" applyFont="1" applyFill="1" applyBorder="1" applyAlignment="1">
      <alignment horizontal="center"/>
    </xf>
    <xf numFmtId="0" fontId="19" fillId="10" borderId="5" xfId="0" applyFont="1" applyFill="1" applyBorder="1" applyAlignment="1">
      <alignment horizontal="center"/>
    </xf>
    <xf numFmtId="0" fontId="19" fillId="10" borderId="8" xfId="0" applyFont="1" applyFill="1" applyBorder="1" applyAlignment="1">
      <alignment horizontal="center"/>
    </xf>
    <xf numFmtId="0" fontId="19" fillId="10" borderId="9" xfId="0" applyFont="1" applyFill="1" applyBorder="1" applyAlignment="1">
      <alignment horizontal="center"/>
    </xf>
    <xf numFmtId="0" fontId="9" fillId="3" borderId="6" xfId="0" applyFont="1" applyFill="1" applyBorder="1" applyAlignment="1">
      <alignment wrapText="1"/>
    </xf>
    <xf numFmtId="0" fontId="9" fillId="3" borderId="16" xfId="0" applyFont="1" applyFill="1" applyBorder="1" applyAlignment="1">
      <alignment wrapText="1"/>
    </xf>
    <xf numFmtId="0" fontId="9" fillId="3" borderId="7" xfId="0" applyFont="1" applyFill="1" applyBorder="1" applyAlignment="1">
      <alignment wrapText="1"/>
    </xf>
    <xf numFmtId="0" fontId="9" fillId="3" borderId="18" xfId="0" applyFont="1" applyFill="1" applyBorder="1" applyAlignment="1">
      <alignment wrapText="1"/>
    </xf>
    <xf numFmtId="0" fontId="9" fillId="3" borderId="17" xfId="0" applyFont="1" applyFill="1" applyBorder="1" applyAlignment="1">
      <alignment wrapText="1"/>
    </xf>
    <xf numFmtId="0" fontId="9" fillId="3" borderId="19" xfId="0" applyFont="1" applyFill="1" applyBorder="1" applyAlignment="1">
      <alignment wrapText="1"/>
    </xf>
    <xf numFmtId="0" fontId="9" fillId="3" borderId="14" xfId="0" applyFont="1" applyFill="1" applyBorder="1" applyAlignment="1">
      <alignment wrapText="1"/>
    </xf>
    <xf numFmtId="0" fontId="9" fillId="3" borderId="20" xfId="0" applyFont="1" applyFill="1" applyBorder="1" applyAlignment="1">
      <alignment wrapText="1"/>
    </xf>
    <xf numFmtId="0" fontId="9" fillId="3" borderId="15" xfId="0" applyFont="1" applyFill="1" applyBorder="1" applyAlignment="1">
      <alignment wrapText="1"/>
    </xf>
    <xf numFmtId="0" fontId="5" fillId="12" borderId="5" xfId="0" applyFont="1" applyFill="1" applyBorder="1" applyAlignment="1">
      <alignment horizontal="center" vertical="center" wrapText="1"/>
    </xf>
    <xf numFmtId="0" fontId="5" fillId="12" borderId="23" xfId="0" applyFont="1" applyFill="1" applyBorder="1" applyAlignment="1">
      <alignment horizontal="center" vertical="center" wrapText="1"/>
    </xf>
    <xf numFmtId="0" fontId="5" fillId="11" borderId="23" xfId="0" applyFont="1" applyFill="1" applyBorder="1" applyAlignment="1">
      <alignment horizontal="center" vertical="center" wrapText="1"/>
    </xf>
    <xf numFmtId="165" fontId="5" fillId="11" borderId="23" xfId="0" applyNumberFormat="1" applyFont="1" applyFill="1" applyBorder="1" applyAlignment="1">
      <alignment horizontal="center" vertical="center" wrapText="1"/>
    </xf>
    <xf numFmtId="49" fontId="5" fillId="11" borderId="23" xfId="0" applyNumberFormat="1" applyFont="1" applyFill="1" applyBorder="1" applyAlignment="1">
      <alignment horizontal="center" vertical="center" wrapText="1"/>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11</xdr:col>
      <xdr:colOff>219075</xdr:colOff>
      <xdr:row>8</xdr:row>
      <xdr:rowOff>266700</xdr:rowOff>
    </xdr:from>
    <xdr:ext cx="1095375" cy="1162050"/>
    <xdr:pic>
      <xdr:nvPicPr>
        <xdr:cNvPr id="3" name="image1.jpg">
          <a:extLst>
            <a:ext uri="{FF2B5EF4-FFF2-40B4-BE49-F238E27FC236}">
              <a16:creationId xmlns:a16="http://schemas.microsoft.com/office/drawing/2014/main" id="{00000000-0008-0000-0100-000003000000}"/>
            </a:ext>
            <a:ext uri="{147F2762-F138-4A5C-976F-8EAC2B608ADB}">
              <a16:predDERef xmlns:a16="http://schemas.microsoft.com/office/drawing/2014/main" pre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361950</xdr:colOff>
      <xdr:row>29</xdr:row>
      <xdr:rowOff>9525</xdr:rowOff>
    </xdr:from>
    <xdr:ext cx="1095375" cy="1162050"/>
    <xdr:pic>
      <xdr:nvPicPr>
        <xdr:cNvPr id="4" name="image1.jpg" title="Imagen">
          <a:extLst>
            <a:ext uri="{FF2B5EF4-FFF2-40B4-BE49-F238E27FC236}">
              <a16:creationId xmlns:a16="http://schemas.microsoft.com/office/drawing/2014/main" id="{00000000-0008-0000-0100-000004000000}"/>
            </a:ext>
            <a:ext uri="{147F2762-F138-4A5C-976F-8EAC2B608ADB}">
              <a16:predDERef xmlns:a16="http://schemas.microsoft.com/office/drawing/2014/main" pre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49</xdr:row>
      <xdr:rowOff>171450</xdr:rowOff>
    </xdr:from>
    <xdr:ext cx="1095375" cy="1162050"/>
    <xdr:pic>
      <xdr:nvPicPr>
        <xdr:cNvPr id="6" name="image1.jpg" title="Imagen">
          <a:extLst>
            <a:ext uri="{FF2B5EF4-FFF2-40B4-BE49-F238E27FC236}">
              <a16:creationId xmlns:a16="http://schemas.microsoft.com/office/drawing/2014/main" id="{00000000-0008-0000-0100-000006000000}"/>
            </a:ext>
            <a:ext uri="{147F2762-F138-4A5C-976F-8EAC2B608ADB}">
              <a16:predDERef xmlns:a16="http://schemas.microsoft.com/office/drawing/2014/main" pred="{00000000-0008-0000-01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13</xdr:col>
      <xdr:colOff>180975</xdr:colOff>
      <xdr:row>49</xdr:row>
      <xdr:rowOff>171450</xdr:rowOff>
    </xdr:from>
    <xdr:to>
      <xdr:col>14</xdr:col>
      <xdr:colOff>504825</xdr:colOff>
      <xdr:row>54</xdr:row>
      <xdr:rowOff>66675</xdr:rowOff>
    </xdr:to>
    <xdr:pic>
      <xdr:nvPicPr>
        <xdr:cNvPr id="12" name="Imagen 11">
          <a:extLst>
            <a:ext uri="{FF2B5EF4-FFF2-40B4-BE49-F238E27FC236}">
              <a16:creationId xmlns:a16="http://schemas.microsoft.com/office/drawing/2014/main" id="{7C96E79F-0D11-E4D0-C652-FB609F032B21}"/>
            </a:ext>
            <a:ext uri="{147F2762-F138-4A5C-976F-8EAC2B608ADB}">
              <a16:predDERef xmlns:a16="http://schemas.microsoft.com/office/drawing/2014/main" pred="{00000000-0008-0000-0100-000006000000}"/>
            </a:ext>
          </a:extLst>
        </xdr:cNvPr>
        <xdr:cNvPicPr>
          <a:picLocks noChangeAspect="1"/>
        </xdr:cNvPicPr>
      </xdr:nvPicPr>
      <xdr:blipFill>
        <a:blip xmlns:r="http://schemas.openxmlformats.org/officeDocument/2006/relationships" r:embed="rId2"/>
        <a:stretch>
          <a:fillRect/>
        </a:stretch>
      </xdr:blipFill>
      <xdr:spPr>
        <a:xfrm>
          <a:off x="10001250" y="11106150"/>
          <a:ext cx="1133475" cy="1133475"/>
        </a:xfrm>
        <a:prstGeom prst="rect">
          <a:avLst/>
        </a:prstGeom>
      </xdr:spPr>
    </xdr:pic>
    <xdr:clientData/>
  </xdr:twoCellAnchor>
  <xdr:twoCellAnchor editAs="oneCell">
    <xdr:from>
      <xdr:col>13</xdr:col>
      <xdr:colOff>209550</xdr:colOff>
      <xdr:row>29</xdr:row>
      <xdr:rowOff>28575</xdr:rowOff>
    </xdr:from>
    <xdr:to>
      <xdr:col>14</xdr:col>
      <xdr:colOff>533400</xdr:colOff>
      <xdr:row>33</xdr:row>
      <xdr:rowOff>171450</xdr:rowOff>
    </xdr:to>
    <xdr:pic>
      <xdr:nvPicPr>
        <xdr:cNvPr id="17" name="Imagen 16">
          <a:extLst>
            <a:ext uri="{FF2B5EF4-FFF2-40B4-BE49-F238E27FC236}">
              <a16:creationId xmlns:a16="http://schemas.microsoft.com/office/drawing/2014/main" id="{C3E2A0B5-9967-493C-888B-F5FA42F89804}"/>
            </a:ext>
            <a:ext uri="{147F2762-F138-4A5C-976F-8EAC2B608ADB}">
              <a16:predDERef xmlns:a16="http://schemas.microsoft.com/office/drawing/2014/main" pred="{AD84C448-F58E-4AC4-AB51-D7BCF8CB913A}"/>
            </a:ext>
          </a:extLst>
        </xdr:cNvPr>
        <xdr:cNvPicPr>
          <a:picLocks noChangeAspect="1"/>
        </xdr:cNvPicPr>
      </xdr:nvPicPr>
      <xdr:blipFill>
        <a:blip xmlns:r="http://schemas.openxmlformats.org/officeDocument/2006/relationships" r:embed="rId2"/>
        <a:stretch>
          <a:fillRect/>
        </a:stretch>
      </xdr:blipFill>
      <xdr:spPr>
        <a:xfrm>
          <a:off x="10029825" y="6010275"/>
          <a:ext cx="1133475" cy="1133475"/>
        </a:xfrm>
        <a:prstGeom prst="rect">
          <a:avLst/>
        </a:prstGeom>
      </xdr:spPr>
    </xdr:pic>
    <xdr:clientData/>
  </xdr:twoCellAnchor>
  <xdr:twoCellAnchor editAs="oneCell">
    <xdr:from>
      <xdr:col>13</xdr:col>
      <xdr:colOff>352425</xdr:colOff>
      <xdr:row>8</xdr:row>
      <xdr:rowOff>257175</xdr:rowOff>
    </xdr:from>
    <xdr:to>
      <xdr:col>14</xdr:col>
      <xdr:colOff>676275</xdr:colOff>
      <xdr:row>12</xdr:row>
      <xdr:rowOff>123825</xdr:rowOff>
    </xdr:to>
    <xdr:pic>
      <xdr:nvPicPr>
        <xdr:cNvPr id="19" name="Imagen 18">
          <a:extLst>
            <a:ext uri="{FF2B5EF4-FFF2-40B4-BE49-F238E27FC236}">
              <a16:creationId xmlns:a16="http://schemas.microsoft.com/office/drawing/2014/main" id="{8B94647F-5887-4FE6-81CC-FC9D748C753C}"/>
            </a:ext>
            <a:ext uri="{147F2762-F138-4A5C-976F-8EAC2B608ADB}">
              <a16:predDERef xmlns:a16="http://schemas.microsoft.com/office/drawing/2014/main" pred="{C3E2A0B5-9967-493C-888B-F5FA42F89804}"/>
            </a:ext>
          </a:extLst>
        </xdr:cNvPr>
        <xdr:cNvPicPr>
          <a:picLocks noChangeAspect="1"/>
        </xdr:cNvPicPr>
      </xdr:nvPicPr>
      <xdr:blipFill>
        <a:blip xmlns:r="http://schemas.openxmlformats.org/officeDocument/2006/relationships" r:embed="rId2"/>
        <a:stretch>
          <a:fillRect/>
        </a:stretch>
      </xdr:blipFill>
      <xdr:spPr>
        <a:xfrm>
          <a:off x="10172700" y="1200150"/>
          <a:ext cx="1133475" cy="11334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tabSelected="1" topLeftCell="A8" zoomScale="70" zoomScaleNormal="70" workbookViewId="0">
      <selection activeCell="L8" sqref="L8"/>
    </sheetView>
  </sheetViews>
  <sheetFormatPr baseColWidth="10" defaultColWidth="12.59765625" defaultRowHeight="15" customHeight="1" x14ac:dyDescent="0.25"/>
  <cols>
    <col min="1" max="1" width="4.59765625" customWidth="1"/>
    <col min="2" max="2" width="6.59765625" customWidth="1"/>
    <col min="3" max="5" width="20.59765625" customWidth="1"/>
    <col min="6" max="6" width="13.09765625" customWidth="1"/>
    <col min="7" max="7" width="32.5" customWidth="1"/>
    <col min="8" max="12" width="10.59765625" customWidth="1"/>
    <col min="13" max="13" width="32.69921875" customWidth="1"/>
    <col min="14" max="15" width="20.5976562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76" t="s">
        <v>0</v>
      </c>
      <c r="C3" s="77"/>
      <c r="D3" s="77"/>
      <c r="E3" s="77"/>
      <c r="F3" s="77"/>
      <c r="G3" s="77"/>
      <c r="H3" s="77"/>
      <c r="I3" s="77"/>
      <c r="J3" s="77"/>
      <c r="K3" s="77"/>
      <c r="L3" s="77"/>
      <c r="M3" s="77"/>
      <c r="N3" s="77"/>
      <c r="O3" s="78"/>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51.80000000000001" x14ac:dyDescent="0.25">
      <c r="A6" s="1"/>
      <c r="B6" s="71" t="s">
        <v>15</v>
      </c>
      <c r="C6" s="71" t="s">
        <v>41</v>
      </c>
      <c r="D6" s="71" t="s">
        <v>52</v>
      </c>
      <c r="E6" s="71" t="s">
        <v>42</v>
      </c>
      <c r="F6" s="71" t="s">
        <v>21</v>
      </c>
      <c r="G6" s="71" t="s">
        <v>56</v>
      </c>
      <c r="H6" s="71" t="s">
        <v>22</v>
      </c>
      <c r="I6" s="71">
        <v>8</v>
      </c>
      <c r="J6" s="74">
        <v>46066</v>
      </c>
      <c r="K6" s="71" t="s">
        <v>18</v>
      </c>
      <c r="L6" s="71" t="s">
        <v>29</v>
      </c>
      <c r="M6" s="73" t="s">
        <v>43</v>
      </c>
      <c r="N6" s="71"/>
      <c r="O6" s="71" t="s">
        <v>45</v>
      </c>
      <c r="P6" s="1"/>
      <c r="Q6" s="1"/>
      <c r="R6" s="1"/>
      <c r="S6" s="1"/>
      <c r="T6" s="1"/>
      <c r="U6" s="1"/>
      <c r="V6" s="1"/>
      <c r="W6" s="1"/>
      <c r="X6" s="1"/>
      <c r="Y6" s="1"/>
      <c r="Z6" s="1"/>
    </row>
    <row r="7" spans="1:26" ht="207" x14ac:dyDescent="0.25">
      <c r="A7" s="1"/>
      <c r="B7" s="71" t="s">
        <v>20</v>
      </c>
      <c r="C7" s="71" t="s">
        <v>46</v>
      </c>
      <c r="D7" s="71" t="s">
        <v>51</v>
      </c>
      <c r="E7" s="71" t="s">
        <v>47</v>
      </c>
      <c r="F7" s="71" t="s">
        <v>16</v>
      </c>
      <c r="G7" s="71" t="s">
        <v>57</v>
      </c>
      <c r="H7" s="71" t="s">
        <v>17</v>
      </c>
      <c r="I7" s="71">
        <v>6</v>
      </c>
      <c r="J7" s="72">
        <v>45708</v>
      </c>
      <c r="K7" s="71" t="s">
        <v>26</v>
      </c>
      <c r="L7" s="71" t="s">
        <v>29</v>
      </c>
      <c r="M7" s="73" t="s">
        <v>48</v>
      </c>
      <c r="N7" s="71"/>
      <c r="O7" s="71" t="s">
        <v>44</v>
      </c>
      <c r="P7" s="1"/>
      <c r="Q7" s="1"/>
      <c r="R7" s="1"/>
      <c r="S7" s="1"/>
      <c r="T7" s="1"/>
      <c r="U7" s="1"/>
      <c r="V7" s="1"/>
      <c r="W7" s="1"/>
      <c r="X7" s="1"/>
      <c r="Y7" s="1"/>
      <c r="Z7" s="1"/>
    </row>
    <row r="8" spans="1:26" ht="179.4" x14ac:dyDescent="0.25">
      <c r="A8" s="1"/>
      <c r="B8" s="71" t="s">
        <v>23</v>
      </c>
      <c r="C8" s="71" t="s">
        <v>49</v>
      </c>
      <c r="D8" s="71" t="s">
        <v>50</v>
      </c>
      <c r="E8" s="71" t="s">
        <v>53</v>
      </c>
      <c r="F8" s="71" t="s">
        <v>21</v>
      </c>
      <c r="G8" s="71" t="s">
        <v>58</v>
      </c>
      <c r="H8" s="71" t="s">
        <v>24</v>
      </c>
      <c r="I8" s="71">
        <v>10</v>
      </c>
      <c r="J8" s="75">
        <v>46064</v>
      </c>
      <c r="K8" s="71" t="s">
        <v>28</v>
      </c>
      <c r="L8" s="71" t="s">
        <v>29</v>
      </c>
      <c r="M8" s="73" t="s">
        <v>54</v>
      </c>
      <c r="N8" s="71"/>
      <c r="O8" s="71" t="s">
        <v>55</v>
      </c>
      <c r="P8" s="1"/>
      <c r="Q8" s="1"/>
      <c r="R8" s="1"/>
      <c r="S8" s="1"/>
      <c r="T8" s="1"/>
      <c r="U8" s="1"/>
      <c r="V8" s="1"/>
      <c r="W8" s="1"/>
      <c r="X8" s="1"/>
      <c r="Y8" s="1"/>
      <c r="Z8" s="1"/>
    </row>
    <row r="9" spans="1:26" ht="138" x14ac:dyDescent="0.25">
      <c r="A9" s="1"/>
      <c r="B9" s="204" t="s">
        <v>59</v>
      </c>
      <c r="C9" s="68" t="s">
        <v>60</v>
      </c>
      <c r="D9" s="68" t="s">
        <v>61</v>
      </c>
      <c r="E9" s="68" t="s">
        <v>62</v>
      </c>
      <c r="F9" s="204" t="s">
        <v>21</v>
      </c>
      <c r="G9" s="68" t="s">
        <v>63</v>
      </c>
      <c r="H9" s="68" t="s">
        <v>22</v>
      </c>
      <c r="I9" s="68">
        <v>5</v>
      </c>
      <c r="J9" s="69">
        <v>46027</v>
      </c>
      <c r="K9" s="68" t="s">
        <v>18</v>
      </c>
      <c r="L9" s="68" t="s">
        <v>19</v>
      </c>
      <c r="M9" s="70" t="s">
        <v>64</v>
      </c>
      <c r="N9" s="68"/>
      <c r="O9" s="68" t="s">
        <v>65</v>
      </c>
      <c r="P9" s="1"/>
      <c r="Q9" s="1"/>
      <c r="R9" s="1"/>
      <c r="S9" s="1"/>
      <c r="T9" s="1"/>
      <c r="U9" s="1"/>
      <c r="V9" s="1"/>
      <c r="W9" s="1"/>
      <c r="X9" s="1"/>
      <c r="Y9" s="1"/>
      <c r="Z9" s="1"/>
    </row>
    <row r="10" spans="1:26" ht="207" x14ac:dyDescent="0.25">
      <c r="A10" s="67"/>
      <c r="B10" s="205" t="s">
        <v>66</v>
      </c>
      <c r="C10" s="206" t="s">
        <v>67</v>
      </c>
      <c r="D10" s="206" t="s">
        <v>68</v>
      </c>
      <c r="E10" s="206" t="s">
        <v>69</v>
      </c>
      <c r="F10" s="205" t="s">
        <v>21</v>
      </c>
      <c r="G10" s="206" t="s">
        <v>72</v>
      </c>
      <c r="H10" s="206" t="s">
        <v>17</v>
      </c>
      <c r="I10" s="206">
        <v>10</v>
      </c>
      <c r="J10" s="207">
        <v>46044</v>
      </c>
      <c r="K10" s="206" t="s">
        <v>26</v>
      </c>
      <c r="L10" s="206" t="s">
        <v>19</v>
      </c>
      <c r="M10" s="208" t="s">
        <v>70</v>
      </c>
      <c r="N10" s="206"/>
      <c r="O10" s="206" t="s">
        <v>71</v>
      </c>
      <c r="P10" s="67"/>
      <c r="Q10" s="1"/>
      <c r="R10" s="1"/>
      <c r="S10" s="1"/>
      <c r="T10" s="1"/>
      <c r="U10" s="1"/>
      <c r="V10" s="1"/>
      <c r="W10" s="1"/>
      <c r="X10" s="1"/>
      <c r="Y10" s="1"/>
      <c r="Z10" s="1"/>
    </row>
    <row r="11" spans="1:26" ht="165.6" x14ac:dyDescent="0.25">
      <c r="A11" s="67"/>
      <c r="B11" s="205" t="s">
        <v>73</v>
      </c>
      <c r="C11" s="206" t="s">
        <v>74</v>
      </c>
      <c r="D11" s="206" t="s">
        <v>75</v>
      </c>
      <c r="E11" s="206" t="s">
        <v>76</v>
      </c>
      <c r="F11" s="205" t="s">
        <v>21</v>
      </c>
      <c r="G11" s="206" t="s">
        <v>77</v>
      </c>
      <c r="H11" s="206" t="s">
        <v>24</v>
      </c>
      <c r="I11" s="206">
        <v>10</v>
      </c>
      <c r="J11" s="207">
        <v>46044</v>
      </c>
      <c r="K11" s="206" t="s">
        <v>26</v>
      </c>
      <c r="L11" s="206" t="s">
        <v>19</v>
      </c>
      <c r="M11" s="208" t="s">
        <v>70</v>
      </c>
      <c r="N11" s="206"/>
      <c r="O11" s="206" t="s">
        <v>71</v>
      </c>
      <c r="P11" s="67"/>
      <c r="Q11" s="1"/>
      <c r="R11" s="1"/>
      <c r="S11" s="1"/>
      <c r="T11" s="1"/>
      <c r="U11" s="1"/>
      <c r="V11" s="1"/>
      <c r="W11" s="1"/>
      <c r="X11" s="1"/>
      <c r="Y11" s="1"/>
      <c r="Z11" s="1"/>
    </row>
    <row r="12" spans="1:26" ht="61.5" customHeight="1" x14ac:dyDescent="0.25">
      <c r="A12" s="67"/>
      <c r="B12" s="63"/>
      <c r="C12" s="63"/>
      <c r="D12" s="64"/>
      <c r="E12" s="63"/>
      <c r="F12" s="63"/>
      <c r="G12" s="65"/>
      <c r="H12" s="63"/>
      <c r="I12" s="63"/>
      <c r="J12" s="66"/>
      <c r="K12" s="63"/>
      <c r="L12" s="63"/>
      <c r="M12" s="63"/>
      <c r="N12" s="63"/>
      <c r="O12" s="63"/>
      <c r="P12" s="67"/>
      <c r="Q12" s="1"/>
      <c r="R12" s="1"/>
      <c r="S12" s="1"/>
      <c r="T12" s="1"/>
      <c r="U12" s="1"/>
      <c r="V12" s="1"/>
      <c r="W12" s="1"/>
      <c r="X12" s="1"/>
      <c r="Y12" s="1"/>
      <c r="Z12" s="1"/>
    </row>
    <row r="13" spans="1:26" ht="70.5" customHeight="1" x14ac:dyDescent="0.25">
      <c r="A13" s="67"/>
      <c r="B13" s="63"/>
      <c r="C13" s="63"/>
      <c r="D13" s="65"/>
      <c r="R13" s="1"/>
      <c r="S13" s="1"/>
      <c r="T13" s="1"/>
      <c r="U13" s="1"/>
      <c r="V13" s="1"/>
      <c r="W13" s="1"/>
      <c r="X13" s="1"/>
      <c r="Y13" s="1"/>
      <c r="Z13" s="1"/>
    </row>
    <row r="14" spans="1:26" ht="61.5" customHeight="1" x14ac:dyDescent="0.25">
      <c r="A14" s="1"/>
      <c r="B14" s="67"/>
      <c r="C14" s="67"/>
      <c r="D14" s="67"/>
      <c r="E14" s="67"/>
      <c r="F14" s="67"/>
      <c r="G14" s="67"/>
      <c r="H14" s="67"/>
      <c r="I14" s="67"/>
      <c r="J14" s="67"/>
      <c r="K14" s="67"/>
      <c r="L14" s="67"/>
      <c r="M14" s="67"/>
      <c r="N14" s="67"/>
      <c r="O14" s="67"/>
      <c r="P14" s="1"/>
      <c r="Q14" s="1"/>
      <c r="R14" s="1"/>
      <c r="S14" s="1"/>
      <c r="T14" s="1"/>
      <c r="U14" s="1"/>
      <c r="V14" s="1"/>
      <c r="W14" s="1"/>
      <c r="X14" s="1"/>
      <c r="Y14" s="1"/>
      <c r="Z14" s="1"/>
    </row>
    <row r="15" spans="1:26" ht="58.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39.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39.75" customHeight="1" x14ac:dyDescent="0.25">
      <c r="A17" s="1"/>
      <c r="B17" s="5"/>
      <c r="C17" s="6"/>
      <c r="D17" s="6"/>
      <c r="E17" s="1"/>
      <c r="F17" s="6"/>
      <c r="G17" s="6"/>
      <c r="H17" s="6"/>
      <c r="I17" s="7"/>
      <c r="J17" s="8"/>
      <c r="K17" s="7"/>
      <c r="L17" s="7"/>
      <c r="M17" s="6"/>
      <c r="N17" s="6"/>
      <c r="O17" s="6"/>
      <c r="P17" s="1"/>
      <c r="Q17" s="1"/>
      <c r="R17" s="1"/>
      <c r="S17" s="1"/>
      <c r="T17" s="1"/>
      <c r="U17" s="1"/>
      <c r="V17" s="1"/>
      <c r="W17" s="1"/>
      <c r="X17" s="1"/>
      <c r="Y17" s="1"/>
      <c r="Z17" s="1"/>
    </row>
    <row r="18" spans="1:26" ht="39.75" customHeight="1" x14ac:dyDescent="0.25">
      <c r="A18" s="1"/>
      <c r="B18" s="5"/>
      <c r="C18" s="6"/>
      <c r="D18" s="6"/>
      <c r="E18" s="6"/>
      <c r="F18" s="6"/>
      <c r="G18" s="6"/>
      <c r="H18" s="6"/>
      <c r="I18" s="7"/>
      <c r="J18" s="8"/>
      <c r="K18" s="7"/>
      <c r="L18" s="7"/>
      <c r="M18" s="6"/>
      <c r="N18" s="36"/>
      <c r="O18" s="6"/>
      <c r="P18" s="1"/>
      <c r="Q18" s="1"/>
      <c r="R18" s="1"/>
      <c r="S18" s="1"/>
      <c r="T18" s="1"/>
      <c r="U18" s="1"/>
      <c r="V18" s="1"/>
      <c r="W18" s="1"/>
      <c r="X18" s="1"/>
      <c r="Y18" s="1"/>
      <c r="Z18" s="1"/>
    </row>
    <row r="19" spans="1:26" ht="39.75" customHeight="1" x14ac:dyDescent="0.25">
      <c r="A19" s="1"/>
      <c r="B19" s="5"/>
      <c r="C19" s="6"/>
      <c r="D19" s="6"/>
      <c r="E19" s="1"/>
      <c r="F19" s="6"/>
      <c r="G19" s="6"/>
      <c r="H19" s="6"/>
      <c r="I19" s="7"/>
      <c r="J19" s="8"/>
      <c r="K19" s="7"/>
      <c r="L19" s="7"/>
      <c r="M19" s="6"/>
      <c r="N19" s="6"/>
      <c r="O19" s="6"/>
      <c r="P19" s="1"/>
      <c r="Q19" s="1"/>
      <c r="R19" s="1"/>
      <c r="S19" s="1"/>
      <c r="T19" s="1"/>
      <c r="U19" s="1"/>
      <c r="V19" s="1"/>
      <c r="W19" s="1"/>
      <c r="X19" s="1"/>
      <c r="Y19" s="1"/>
      <c r="Z19" s="1"/>
    </row>
    <row r="20" spans="1:26" ht="39.75" customHeight="1" x14ac:dyDescent="0.25">
      <c r="A20" s="1"/>
      <c r="B20" s="5"/>
      <c r="C20" s="6"/>
      <c r="D20" s="6"/>
      <c r="E20" s="6"/>
      <c r="F20" s="6"/>
      <c r="G20" s="6"/>
      <c r="H20" s="6"/>
      <c r="I20" s="7"/>
      <c r="J20" s="8"/>
      <c r="K20" s="7"/>
      <c r="L20" s="7"/>
      <c r="M20" s="36"/>
      <c r="N20" s="6"/>
      <c r="O20" s="6"/>
      <c r="P20" s="1"/>
      <c r="Q20" s="1"/>
      <c r="R20" s="1"/>
      <c r="S20" s="1"/>
      <c r="T20" s="1"/>
      <c r="U20" s="1"/>
      <c r="V20" s="1"/>
      <c r="W20" s="1"/>
      <c r="X20" s="1"/>
      <c r="Y20" s="1"/>
      <c r="Z20" s="1"/>
    </row>
    <row r="21" spans="1:26" ht="39.75" customHeight="1" x14ac:dyDescent="0.25">
      <c r="A21" s="1"/>
      <c r="B21" s="5"/>
      <c r="C21" s="6"/>
      <c r="D21" s="6"/>
      <c r="E21" s="6"/>
      <c r="F21" s="6"/>
      <c r="G21" s="6"/>
      <c r="H21" s="6"/>
      <c r="I21" s="7"/>
      <c r="J21" s="8"/>
      <c r="K21" s="7"/>
      <c r="L21" s="7"/>
      <c r="M21" s="6" t="s">
        <v>25</v>
      </c>
      <c r="N21" s="6"/>
      <c r="O21" s="36"/>
      <c r="P21" s="1"/>
      <c r="Q21" s="1"/>
      <c r="R21" s="1"/>
      <c r="S21" s="1"/>
      <c r="T21" s="1"/>
      <c r="U21" s="1"/>
      <c r="V21" s="1"/>
      <c r="W21" s="1"/>
      <c r="X21" s="1"/>
      <c r="Y21" s="1"/>
      <c r="Z21" s="1"/>
    </row>
    <row r="22" spans="1:26" ht="19.5" customHeight="1" x14ac:dyDescent="0.25">
      <c r="A22" s="1"/>
      <c r="B22" s="1"/>
      <c r="C22" s="1"/>
      <c r="D22" s="1"/>
      <c r="E22" s="1"/>
      <c r="F22" s="1"/>
      <c r="G22" s="1"/>
      <c r="H22" s="1"/>
      <c r="I22" s="2"/>
      <c r="J22" s="2"/>
      <c r="K22" s="3"/>
      <c r="L22" s="2"/>
      <c r="M22" s="1"/>
      <c r="N22" s="1"/>
      <c r="O22" s="1"/>
      <c r="P22" s="1"/>
      <c r="Q22" s="1"/>
      <c r="R22" s="1"/>
      <c r="S22" s="1"/>
      <c r="T22" s="1"/>
      <c r="U22" s="1"/>
      <c r="V22" s="1"/>
      <c r="W22" s="1"/>
      <c r="X22" s="1"/>
      <c r="Y22" s="1"/>
      <c r="Z22" s="1"/>
    </row>
    <row r="23" spans="1:26" ht="19.5" customHeight="1" x14ac:dyDescent="0.25">
      <c r="A23" s="1"/>
      <c r="B23" s="1"/>
      <c r="C23" s="1"/>
      <c r="D23" s="1"/>
      <c r="E23" s="1"/>
      <c r="F23" s="1"/>
      <c r="G23" s="1"/>
      <c r="H23" s="1"/>
      <c r="I23" s="2"/>
      <c r="J23" s="2"/>
      <c r="K23" s="3"/>
      <c r="L23" s="2"/>
      <c r="M23" s="1"/>
      <c r="N23" s="1"/>
      <c r="O23" s="1"/>
      <c r="P23" s="1"/>
      <c r="Q23" s="1"/>
      <c r="R23" s="1"/>
      <c r="S23" s="1"/>
      <c r="T23" s="1"/>
      <c r="U23" s="1"/>
      <c r="V23" s="1"/>
      <c r="W23" s="1"/>
      <c r="X23" s="1"/>
      <c r="Y23" s="1"/>
      <c r="Z23" s="1"/>
    </row>
    <row r="24" spans="1:26" ht="19.5" customHeight="1" x14ac:dyDescent="0.25">
      <c r="A24" s="1"/>
      <c r="B24" s="1"/>
      <c r="C24" s="1"/>
      <c r="D24" s="1"/>
      <c r="E24" s="1"/>
      <c r="F24" s="1"/>
      <c r="G24" s="1"/>
      <c r="H24" s="36"/>
      <c r="I24" s="2"/>
      <c r="J24" s="2"/>
      <c r="K24" s="3"/>
      <c r="L24" s="2"/>
      <c r="M24" s="1"/>
      <c r="N24" s="1"/>
      <c r="O24" s="1"/>
      <c r="P24" s="1"/>
      <c r="Q24" s="1"/>
      <c r="R24" s="1"/>
      <c r="S24" s="1"/>
      <c r="T24" s="1"/>
      <c r="U24" s="1"/>
      <c r="V24" s="1"/>
      <c r="W24" s="1"/>
      <c r="X24" s="1"/>
      <c r="Y24" s="1"/>
      <c r="Z24" s="1"/>
    </row>
    <row r="25" spans="1:26" ht="19.5" customHeight="1" x14ac:dyDescent="0.25">
      <c r="A25" s="1"/>
      <c r="B25" s="1"/>
      <c r="C25" s="1"/>
      <c r="D25" s="1"/>
      <c r="E25" s="1"/>
      <c r="F25" s="1"/>
      <c r="G25" s="1"/>
      <c r="H25" s="1"/>
      <c r="I25" s="2"/>
      <c r="J25" s="2"/>
      <c r="K25" s="3"/>
      <c r="L25" s="2"/>
      <c r="M25" s="1"/>
      <c r="N25" s="1"/>
      <c r="O25" s="1"/>
      <c r="P25" s="1"/>
      <c r="Q25" s="1"/>
      <c r="R25" s="1"/>
      <c r="S25" s="1"/>
      <c r="T25" s="1"/>
      <c r="U25" s="1"/>
      <c r="V25" s="1"/>
      <c r="W25" s="1"/>
      <c r="X25" s="1"/>
      <c r="Y25" s="1"/>
      <c r="Z25" s="1"/>
    </row>
    <row r="26" spans="1:26" ht="19.5" customHeight="1" x14ac:dyDescent="0.25">
      <c r="A26" s="1"/>
      <c r="B26" s="1"/>
      <c r="C26" s="1"/>
      <c r="D26" s="1"/>
      <c r="E26" s="1"/>
      <c r="F26" s="1"/>
      <c r="G26" s="1"/>
      <c r="H26" s="1"/>
      <c r="I26" s="2"/>
      <c r="J26" s="2"/>
      <c r="K26" s="9"/>
      <c r="L26" s="2"/>
      <c r="M26" s="1"/>
      <c r="N26" s="1"/>
      <c r="O26" s="1"/>
      <c r="P26" s="1"/>
      <c r="Q26" s="1"/>
      <c r="R26" s="1"/>
      <c r="S26" s="1"/>
      <c r="T26" s="1"/>
      <c r="U26" s="1"/>
      <c r="V26" s="1"/>
      <c r="W26" s="1"/>
      <c r="X26" s="1"/>
      <c r="Y26" s="1"/>
      <c r="Z26" s="1"/>
    </row>
    <row r="27" spans="1:26" ht="19.5" customHeight="1" x14ac:dyDescent="0.25">
      <c r="A27" s="1"/>
      <c r="B27" s="1"/>
      <c r="C27" s="1"/>
      <c r="D27" s="1"/>
      <c r="E27" s="1"/>
      <c r="F27" s="1"/>
      <c r="G27" s="1"/>
      <c r="H27" s="1"/>
      <c r="I27" s="2"/>
      <c r="J27" s="2"/>
      <c r="K27" s="9"/>
      <c r="L27" s="2"/>
      <c r="M27" s="1"/>
      <c r="N27" s="1"/>
      <c r="O27" s="1"/>
      <c r="P27" s="1"/>
      <c r="Q27" s="1"/>
      <c r="R27" s="1"/>
      <c r="S27" s="1"/>
      <c r="T27" s="1"/>
      <c r="U27" s="1"/>
      <c r="V27" s="1"/>
      <c r="W27" s="1"/>
      <c r="X27" s="1"/>
      <c r="Y27" s="1"/>
      <c r="Z27" s="1"/>
    </row>
    <row r="28" spans="1:26" ht="19.5" customHeight="1" x14ac:dyDescent="0.25">
      <c r="A28" s="1"/>
      <c r="B28" s="1"/>
      <c r="C28" s="1"/>
      <c r="D28" s="1"/>
      <c r="E28" s="1"/>
      <c r="F28" s="1"/>
      <c r="G28" s="1"/>
      <c r="H28" s="1"/>
      <c r="I28" s="2"/>
      <c r="J28" s="2"/>
      <c r="K28" s="3"/>
      <c r="L28" s="2"/>
      <c r="M28" s="1"/>
      <c r="N28" s="1"/>
      <c r="O28" s="1"/>
      <c r="P28" s="1"/>
      <c r="Q28" s="1"/>
      <c r="R28" s="1"/>
      <c r="S28" s="1"/>
      <c r="T28" s="1"/>
      <c r="U28" s="1"/>
      <c r="V28" s="1"/>
      <c r="W28" s="1"/>
      <c r="X28" s="1"/>
      <c r="Y28" s="1"/>
      <c r="Z28" s="1"/>
    </row>
    <row r="29" spans="1:26" ht="19.5" customHeight="1" x14ac:dyDescent="0.25">
      <c r="A29" s="1"/>
      <c r="B29" s="1"/>
      <c r="C29" s="1"/>
      <c r="D29" s="1"/>
      <c r="E29" s="1"/>
      <c r="F29" s="1"/>
      <c r="G29" s="1"/>
      <c r="H29" s="1"/>
      <c r="I29" s="2"/>
      <c r="J29" s="1"/>
      <c r="K29" s="1"/>
      <c r="L29" s="1"/>
      <c r="M29" s="1"/>
      <c r="N29" s="1"/>
      <c r="O29" s="1"/>
      <c r="P29" s="1"/>
      <c r="Q29" s="1"/>
      <c r="R29" s="1"/>
      <c r="S29" s="1"/>
      <c r="T29" s="1"/>
      <c r="U29" s="1"/>
      <c r="V29" s="1"/>
      <c r="W29" s="1"/>
      <c r="X29" s="1"/>
      <c r="Y29" s="1"/>
      <c r="Z29" s="1"/>
    </row>
    <row r="30" spans="1:26" ht="19.5" customHeight="1" x14ac:dyDescent="0.25">
      <c r="A30" s="1"/>
      <c r="B30" s="1"/>
      <c r="C30" s="1"/>
      <c r="D30" s="1"/>
      <c r="E30" s="1"/>
      <c r="F30" s="1"/>
      <c r="G30" s="1"/>
      <c r="H30" s="1"/>
      <c r="I30" s="2"/>
      <c r="J30" s="1"/>
      <c r="K30" s="1"/>
      <c r="L30" s="1"/>
      <c r="M30" s="1"/>
      <c r="N30" s="1"/>
      <c r="O30" s="1"/>
      <c r="P30" s="1"/>
      <c r="Q30" s="1"/>
      <c r="R30" s="1"/>
      <c r="S30" s="1"/>
      <c r="T30" s="1"/>
      <c r="U30" s="1"/>
      <c r="V30" s="1"/>
      <c r="W30" s="1"/>
      <c r="X30" s="1"/>
      <c r="Y30" s="1"/>
      <c r="Z30" s="1"/>
    </row>
    <row r="31" spans="1:26" ht="19.5" customHeight="1" x14ac:dyDescent="0.25">
      <c r="A31" s="1"/>
      <c r="B31" s="1"/>
      <c r="C31" s="1"/>
      <c r="D31" s="1"/>
      <c r="E31" s="1"/>
      <c r="F31" s="1"/>
      <c r="G31" s="1"/>
      <c r="H31" s="1"/>
      <c r="I31" s="2"/>
      <c r="J31" s="1"/>
      <c r="K31" s="3" t="s">
        <v>18</v>
      </c>
      <c r="L31" s="3" t="s">
        <v>19</v>
      </c>
      <c r="M31" s="1"/>
      <c r="N31" s="1"/>
      <c r="O31" s="1"/>
      <c r="P31" s="1"/>
      <c r="Q31" s="1"/>
      <c r="R31" s="1"/>
      <c r="S31" s="1"/>
      <c r="T31" s="1"/>
      <c r="U31" s="1"/>
      <c r="V31" s="1"/>
      <c r="W31" s="1"/>
      <c r="X31" s="1"/>
      <c r="Y31" s="1"/>
      <c r="Z31" s="1"/>
    </row>
    <row r="32" spans="1:26" ht="19.5" customHeight="1" x14ac:dyDescent="0.25">
      <c r="A32" s="1"/>
      <c r="B32" s="1"/>
      <c r="C32" s="1"/>
      <c r="D32" s="1"/>
      <c r="E32" s="1"/>
      <c r="F32" s="1"/>
      <c r="G32" s="1"/>
      <c r="H32" s="1"/>
      <c r="I32" s="2"/>
      <c r="J32" s="1"/>
      <c r="K32" s="3" t="s">
        <v>26</v>
      </c>
      <c r="L32" s="3" t="s">
        <v>27</v>
      </c>
      <c r="M32" s="1"/>
      <c r="N32" s="1"/>
      <c r="O32" s="1"/>
      <c r="P32" s="1"/>
      <c r="Q32" s="1"/>
      <c r="R32" s="1"/>
      <c r="S32" s="1"/>
      <c r="T32" s="1"/>
      <c r="U32" s="1"/>
      <c r="V32" s="1"/>
      <c r="W32" s="1"/>
      <c r="X32" s="1"/>
      <c r="Y32" s="1"/>
      <c r="Z32" s="1"/>
    </row>
    <row r="33" spans="1:26" ht="19.5" customHeight="1" x14ac:dyDescent="0.25">
      <c r="A33" s="1"/>
      <c r="B33" s="1"/>
      <c r="C33" s="1"/>
      <c r="D33" s="1"/>
      <c r="E33" s="1"/>
      <c r="F33" s="1"/>
      <c r="G33" s="1"/>
      <c r="H33" s="1"/>
      <c r="I33" s="2"/>
      <c r="J33" s="1"/>
      <c r="K33" s="3" t="s">
        <v>28</v>
      </c>
      <c r="L33" s="3" t="s">
        <v>29</v>
      </c>
      <c r="M33" s="1"/>
      <c r="N33" s="1"/>
      <c r="O33" s="1"/>
      <c r="P33" s="1"/>
      <c r="Q33" s="1"/>
      <c r="R33" s="1"/>
      <c r="S33" s="1"/>
      <c r="T33" s="1"/>
      <c r="U33" s="1"/>
      <c r="V33" s="1"/>
      <c r="W33" s="1"/>
      <c r="X33" s="1"/>
      <c r="Y33" s="1"/>
      <c r="Z33" s="1"/>
    </row>
    <row r="34" spans="1:26" ht="19.5" customHeight="1" x14ac:dyDescent="0.25">
      <c r="A34" s="1"/>
      <c r="B34" s="1"/>
      <c r="C34" s="1"/>
      <c r="D34" s="1"/>
      <c r="E34" s="1"/>
      <c r="F34" s="1"/>
      <c r="G34" s="1"/>
      <c r="H34" s="1"/>
      <c r="I34" s="2"/>
      <c r="J34" s="1"/>
      <c r="K34" s="3"/>
      <c r="L34" s="3" t="s">
        <v>30</v>
      </c>
      <c r="M34" s="1"/>
      <c r="N34" s="1"/>
      <c r="O34" s="1"/>
      <c r="P34" s="1"/>
      <c r="Q34" s="1"/>
      <c r="R34" s="1"/>
      <c r="S34" s="1"/>
      <c r="T34" s="1"/>
      <c r="U34" s="1"/>
      <c r="V34" s="1"/>
      <c r="W34" s="1"/>
      <c r="X34" s="1"/>
      <c r="Y34" s="1"/>
      <c r="Z34" s="1"/>
    </row>
    <row r="35" spans="1:26" ht="19.5" customHeight="1" x14ac:dyDescent="0.25">
      <c r="A35" s="1"/>
      <c r="B35" s="1"/>
      <c r="C35" s="1"/>
      <c r="D35" s="1"/>
      <c r="E35" s="1"/>
      <c r="F35" s="1"/>
      <c r="G35" s="1"/>
      <c r="H35" s="1"/>
      <c r="I35" s="2"/>
      <c r="J35" s="1"/>
      <c r="K35" s="1"/>
      <c r="L35" s="1"/>
      <c r="M35" s="1"/>
      <c r="N35" s="1"/>
      <c r="O35" s="1"/>
      <c r="P35" s="1"/>
      <c r="Q35" s="1"/>
      <c r="R35" s="1"/>
      <c r="S35" s="1"/>
      <c r="T35" s="1"/>
      <c r="U35" s="1"/>
      <c r="V35" s="1"/>
      <c r="W35" s="1"/>
      <c r="X35" s="1"/>
      <c r="Y35" s="1"/>
      <c r="Z35" s="1"/>
    </row>
    <row r="36" spans="1:26" ht="19.5" customHeight="1" x14ac:dyDescent="0.25">
      <c r="A36" s="1"/>
      <c r="B36" s="1"/>
      <c r="C36" s="1"/>
      <c r="D36" s="1"/>
      <c r="E36" s="1"/>
      <c r="F36" s="1"/>
      <c r="G36" s="1"/>
      <c r="H36" s="1"/>
      <c r="I36" s="2"/>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2"/>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2"/>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2"/>
      <c r="J39" s="2"/>
      <c r="K39" s="3"/>
      <c r="L39" s="2"/>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2"/>
      <c r="J40" s="2"/>
      <c r="K40" s="3"/>
      <c r="L40" s="2"/>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2"/>
      <c r="J41" s="2"/>
      <c r="K41" s="3"/>
      <c r="L41" s="2"/>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2"/>
      <c r="J42" s="2"/>
      <c r="K42" s="3"/>
      <c r="L42" s="2"/>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2"/>
      <c r="J43" s="2"/>
      <c r="K43" s="3"/>
      <c r="L43" s="2"/>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2"/>
      <c r="J44" s="2"/>
      <c r="K44" s="3"/>
      <c r="L44" s="2"/>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2"/>
      <c r="J45" s="2"/>
      <c r="K45" s="3"/>
      <c r="L45" s="2"/>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2"/>
      <c r="J46" s="2"/>
      <c r="K46" s="3"/>
      <c r="L46" s="2"/>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2"/>
      <c r="J47" s="2"/>
      <c r="K47" s="3"/>
      <c r="L47" s="2"/>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2"/>
      <c r="J48" s="2"/>
      <c r="K48" s="3"/>
      <c r="L48" s="2"/>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2"/>
      <c r="J49" s="2"/>
      <c r="K49" s="3"/>
      <c r="L49" s="2"/>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2"/>
      <c r="J50" s="2"/>
      <c r="K50" s="3"/>
      <c r="L50" s="2"/>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2"/>
      <c r="J51" s="2"/>
      <c r="K51" s="3"/>
      <c r="L51" s="2"/>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2"/>
      <c r="J52" s="2"/>
      <c r="K52" s="3"/>
      <c r="L52" s="2"/>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2"/>
      <c r="J53" s="2"/>
      <c r="K53" s="3"/>
      <c r="L53" s="2"/>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2"/>
      <c r="J54" s="2"/>
      <c r="K54" s="3"/>
      <c r="L54" s="2"/>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2"/>
      <c r="J55" s="2"/>
      <c r="K55" s="3"/>
      <c r="L55" s="2"/>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2"/>
      <c r="J56" s="2"/>
      <c r="K56" s="3"/>
      <c r="L56" s="2"/>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2"/>
      <c r="J57" s="2"/>
      <c r="K57" s="3"/>
      <c r="L57" s="2"/>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2"/>
      <c r="J58" s="2"/>
      <c r="K58" s="3"/>
      <c r="L58" s="2"/>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2"/>
      <c r="J59" s="2"/>
      <c r="K59" s="3"/>
      <c r="L59" s="2"/>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2"/>
      <c r="J60" s="2"/>
      <c r="K60" s="3"/>
      <c r="L60" s="2"/>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2"/>
      <c r="J61" s="2"/>
      <c r="K61" s="3"/>
      <c r="L61" s="2"/>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2"/>
      <c r="J62" s="2"/>
      <c r="K62" s="3"/>
      <c r="L62" s="2"/>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2"/>
      <c r="J63" s="2"/>
      <c r="K63" s="3"/>
      <c r="L63" s="2"/>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2"/>
      <c r="J64" s="2"/>
      <c r="K64" s="3"/>
      <c r="L64" s="2"/>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2"/>
      <c r="J65" s="2"/>
      <c r="K65" s="3"/>
      <c r="L65" s="2"/>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2"/>
      <c r="J66" s="2"/>
      <c r="K66" s="3"/>
      <c r="L66" s="2"/>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2"/>
      <c r="J67" s="2"/>
      <c r="K67" s="3"/>
      <c r="L67" s="2"/>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2"/>
      <c r="J68" s="2"/>
      <c r="K68" s="3"/>
      <c r="L68" s="2"/>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2"/>
      <c r="J69" s="2"/>
      <c r="K69" s="3"/>
      <c r="L69" s="2"/>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2"/>
      <c r="J70" s="2"/>
      <c r="K70" s="3"/>
      <c r="L70" s="2"/>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2"/>
      <c r="J71" s="2"/>
      <c r="K71" s="3"/>
      <c r="L71" s="2"/>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2"/>
      <c r="J72" s="2"/>
      <c r="K72" s="3"/>
      <c r="L72" s="2"/>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2"/>
      <c r="J73" s="2"/>
      <c r="K73" s="3"/>
      <c r="L73" s="2"/>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2"/>
      <c r="J74" s="2"/>
      <c r="K74" s="3"/>
      <c r="L74" s="2"/>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2"/>
      <c r="J75" s="2"/>
      <c r="K75" s="3"/>
      <c r="L75" s="2"/>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2"/>
      <c r="J76" s="2"/>
      <c r="K76" s="3"/>
      <c r="L76" s="2"/>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2"/>
      <c r="J77" s="2"/>
      <c r="K77" s="3"/>
      <c r="L77" s="2"/>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2"/>
      <c r="J78" s="2"/>
      <c r="K78" s="3"/>
      <c r="L78" s="2"/>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2"/>
      <c r="J79" s="2"/>
      <c r="K79" s="3"/>
      <c r="L79" s="2"/>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2"/>
      <c r="J80" s="2"/>
      <c r="K80" s="3"/>
      <c r="L80" s="2"/>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2"/>
      <c r="J81" s="2"/>
      <c r="K81" s="3"/>
      <c r="L81" s="2"/>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2"/>
      <c r="J82" s="2"/>
      <c r="K82" s="3"/>
      <c r="L82" s="2"/>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2"/>
      <c r="J83" s="2"/>
      <c r="K83" s="3"/>
      <c r="L83" s="2"/>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2"/>
      <c r="J84" s="2"/>
      <c r="K84" s="3"/>
      <c r="L84" s="2"/>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2"/>
      <c r="J85" s="2"/>
      <c r="K85" s="3"/>
      <c r="L85" s="2"/>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2"/>
      <c r="J86" s="2"/>
      <c r="K86" s="3"/>
      <c r="L86" s="2"/>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2"/>
      <c r="J87" s="2"/>
      <c r="K87" s="3"/>
      <c r="L87" s="2"/>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2"/>
      <c r="J88" s="2"/>
      <c r="K88" s="3"/>
      <c r="L88" s="2"/>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2"/>
      <c r="J89" s="2"/>
      <c r="K89" s="3"/>
      <c r="L89" s="2"/>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2"/>
      <c r="J90" s="2"/>
      <c r="K90" s="3"/>
      <c r="L90" s="2"/>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2"/>
      <c r="J91" s="2"/>
      <c r="K91" s="3"/>
      <c r="L91" s="2"/>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2"/>
      <c r="J92" s="2"/>
      <c r="K92" s="3"/>
      <c r="L92" s="2"/>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2"/>
      <c r="J93" s="2"/>
      <c r="K93" s="3"/>
      <c r="L93" s="2"/>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2"/>
      <c r="J94" s="2"/>
      <c r="K94" s="3"/>
      <c r="L94" s="2"/>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2"/>
      <c r="J95" s="2"/>
      <c r="K95" s="3"/>
      <c r="L95" s="2"/>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2"/>
      <c r="J96" s="2"/>
      <c r="K96" s="3"/>
      <c r="L96" s="2"/>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2"/>
      <c r="J97" s="2"/>
      <c r="K97" s="3"/>
      <c r="L97" s="2"/>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2"/>
      <c r="J98" s="2"/>
      <c r="K98" s="3"/>
      <c r="L98" s="2"/>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2"/>
      <c r="J99" s="2"/>
      <c r="K99" s="3"/>
      <c r="L99" s="2"/>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2"/>
      <c r="J100" s="2"/>
      <c r="K100" s="3"/>
      <c r="L100" s="2"/>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2"/>
      <c r="J101" s="2"/>
      <c r="K101" s="3"/>
      <c r="L101" s="2"/>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2"/>
      <c r="J102" s="2"/>
      <c r="K102" s="3"/>
      <c r="L102" s="2"/>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2"/>
      <c r="J103" s="2"/>
      <c r="K103" s="3"/>
      <c r="L103" s="2"/>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2"/>
      <c r="J104" s="2"/>
      <c r="K104" s="3"/>
      <c r="L104" s="2"/>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2"/>
      <c r="J105" s="2"/>
      <c r="K105" s="3"/>
      <c r="L105" s="2"/>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2"/>
      <c r="J106" s="2"/>
      <c r="K106" s="3"/>
      <c r="L106" s="2"/>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2"/>
      <c r="J107" s="2"/>
      <c r="K107" s="3"/>
      <c r="L107" s="2"/>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2"/>
      <c r="J108" s="2"/>
      <c r="K108" s="3"/>
      <c r="L108" s="2"/>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2"/>
      <c r="J109" s="2"/>
      <c r="K109" s="3"/>
      <c r="L109" s="2"/>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2"/>
      <c r="J110" s="2"/>
      <c r="K110" s="3"/>
      <c r="L110" s="2"/>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2"/>
      <c r="J111" s="2"/>
      <c r="K111" s="3"/>
      <c r="L111" s="2"/>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2"/>
      <c r="J112" s="2"/>
      <c r="K112" s="3"/>
      <c r="L112" s="2"/>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2"/>
      <c r="J113" s="2"/>
      <c r="K113" s="3"/>
      <c r="L113" s="2"/>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2"/>
      <c r="J114" s="2"/>
      <c r="K114" s="3"/>
      <c r="L114" s="2"/>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2"/>
      <c r="J115" s="2"/>
      <c r="K115" s="3"/>
      <c r="L115" s="2"/>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2"/>
      <c r="J116" s="2"/>
      <c r="K116" s="3"/>
      <c r="L116" s="2"/>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2"/>
      <c r="J117" s="2"/>
      <c r="K117" s="3"/>
      <c r="L117" s="2"/>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2"/>
      <c r="J118" s="2"/>
      <c r="K118" s="3"/>
      <c r="L118" s="2"/>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2"/>
      <c r="J119" s="2"/>
      <c r="K119" s="3"/>
      <c r="L119" s="2"/>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2"/>
      <c r="J120" s="2"/>
      <c r="K120" s="3"/>
      <c r="L120" s="2"/>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2"/>
      <c r="J121" s="2"/>
      <c r="K121" s="3"/>
      <c r="L121" s="2"/>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2"/>
      <c r="J122" s="2"/>
      <c r="K122" s="3"/>
      <c r="L122" s="2"/>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2"/>
      <c r="J123" s="2"/>
      <c r="K123" s="3"/>
      <c r="L123" s="2"/>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2"/>
      <c r="J124" s="2"/>
      <c r="K124" s="3"/>
      <c r="L124" s="2"/>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2"/>
      <c r="J125" s="2"/>
      <c r="K125" s="3"/>
      <c r="L125" s="2"/>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2"/>
      <c r="J126" s="2"/>
      <c r="K126" s="3"/>
      <c r="L126" s="2"/>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2"/>
      <c r="J127" s="2"/>
      <c r="K127" s="3"/>
      <c r="L127" s="2"/>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2"/>
      <c r="J128" s="2"/>
      <c r="K128" s="3"/>
      <c r="L128" s="2"/>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2"/>
      <c r="J129" s="2"/>
      <c r="K129" s="3"/>
      <c r="L129" s="2"/>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2"/>
      <c r="J130" s="2"/>
      <c r="K130" s="3"/>
      <c r="L130" s="2"/>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2"/>
      <c r="J131" s="2"/>
      <c r="K131" s="3"/>
      <c r="L131" s="2"/>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2"/>
      <c r="J132" s="2"/>
      <c r="K132" s="3"/>
      <c r="L132" s="2"/>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2"/>
      <c r="J133" s="2"/>
      <c r="K133" s="3"/>
      <c r="L133" s="2"/>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2"/>
      <c r="J134" s="2"/>
      <c r="K134" s="3"/>
      <c r="L134" s="2"/>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2"/>
      <c r="J135" s="2"/>
      <c r="K135" s="3"/>
      <c r="L135" s="2"/>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2"/>
      <c r="J136" s="2"/>
      <c r="K136" s="3"/>
      <c r="L136" s="2"/>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2"/>
      <c r="J137" s="2"/>
      <c r="K137" s="3"/>
      <c r="L137" s="2"/>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2"/>
      <c r="J138" s="2"/>
      <c r="K138" s="3"/>
      <c r="L138" s="2"/>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2"/>
      <c r="J139" s="2"/>
      <c r="K139" s="3"/>
      <c r="L139" s="2"/>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2"/>
      <c r="J140" s="2"/>
      <c r="K140" s="3"/>
      <c r="L140" s="2"/>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2"/>
      <c r="J141" s="2"/>
      <c r="K141" s="3"/>
      <c r="L141" s="2"/>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2"/>
      <c r="J142" s="2"/>
      <c r="K142" s="3"/>
      <c r="L142" s="2"/>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2"/>
      <c r="J143" s="2"/>
      <c r="K143" s="3"/>
      <c r="L143" s="2"/>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2"/>
      <c r="J144" s="2"/>
      <c r="K144" s="3"/>
      <c r="L144" s="2"/>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2"/>
      <c r="J145" s="2"/>
      <c r="K145" s="3"/>
      <c r="L145" s="2"/>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2"/>
      <c r="J146" s="2"/>
      <c r="K146" s="3"/>
      <c r="L146" s="2"/>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2"/>
      <c r="J147" s="2"/>
      <c r="K147" s="3"/>
      <c r="L147" s="2"/>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2"/>
      <c r="J148" s="2"/>
      <c r="K148" s="3"/>
      <c r="L148" s="2"/>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2"/>
      <c r="J149" s="2"/>
      <c r="K149" s="3"/>
      <c r="L149" s="2"/>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2"/>
      <c r="J150" s="2"/>
      <c r="K150" s="3"/>
      <c r="L150" s="2"/>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2"/>
      <c r="J151" s="2"/>
      <c r="K151" s="3"/>
      <c r="L151" s="2"/>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2"/>
      <c r="J152" s="2"/>
      <c r="K152" s="3"/>
      <c r="L152" s="2"/>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2"/>
      <c r="J153" s="2"/>
      <c r="K153" s="3"/>
      <c r="L153" s="2"/>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2"/>
      <c r="J154" s="2"/>
      <c r="K154" s="3"/>
      <c r="L154" s="2"/>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2"/>
      <c r="J155" s="2"/>
      <c r="K155" s="3"/>
      <c r="L155" s="2"/>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2"/>
      <c r="J156" s="2"/>
      <c r="K156" s="3"/>
      <c r="L156" s="2"/>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2"/>
      <c r="J157" s="2"/>
      <c r="K157" s="3"/>
      <c r="L157" s="2"/>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2"/>
      <c r="J158" s="2"/>
      <c r="K158" s="3"/>
      <c r="L158" s="2"/>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2"/>
      <c r="J159" s="2"/>
      <c r="K159" s="3"/>
      <c r="L159" s="2"/>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2"/>
      <c r="J160" s="2"/>
      <c r="K160" s="3"/>
      <c r="L160" s="2"/>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2"/>
      <c r="J161" s="2"/>
      <c r="K161" s="3"/>
      <c r="L161" s="2"/>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2"/>
      <c r="J162" s="2"/>
      <c r="K162" s="3"/>
      <c r="L162" s="2"/>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2"/>
      <c r="J163" s="2"/>
      <c r="K163" s="3"/>
      <c r="L163" s="2"/>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2"/>
      <c r="J164" s="2"/>
      <c r="K164" s="3"/>
      <c r="L164" s="2"/>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2"/>
      <c r="J165" s="2"/>
      <c r="K165" s="3"/>
      <c r="L165" s="2"/>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2"/>
      <c r="J166" s="2"/>
      <c r="K166" s="3"/>
      <c r="L166" s="2"/>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2"/>
      <c r="J167" s="2"/>
      <c r="K167" s="3"/>
      <c r="L167" s="2"/>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2"/>
      <c r="J168" s="2"/>
      <c r="K168" s="3"/>
      <c r="L168" s="2"/>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2"/>
      <c r="J169" s="2"/>
      <c r="K169" s="3"/>
      <c r="L169" s="2"/>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2"/>
      <c r="J170" s="2"/>
      <c r="K170" s="3"/>
      <c r="L170" s="2"/>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2"/>
      <c r="J171" s="2"/>
      <c r="K171" s="3"/>
      <c r="L171" s="2"/>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2"/>
      <c r="J172" s="2"/>
      <c r="K172" s="3"/>
      <c r="L172" s="2"/>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2"/>
      <c r="J173" s="2"/>
      <c r="K173" s="3"/>
      <c r="L173" s="2"/>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2"/>
      <c r="J174" s="2"/>
      <c r="K174" s="3"/>
      <c r="L174" s="2"/>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2"/>
      <c r="J175" s="2"/>
      <c r="K175" s="3"/>
      <c r="L175" s="2"/>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2"/>
      <c r="J176" s="2"/>
      <c r="K176" s="3"/>
      <c r="L176" s="2"/>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2"/>
      <c r="J177" s="2"/>
      <c r="K177" s="3"/>
      <c r="L177" s="2"/>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2"/>
      <c r="J178" s="2"/>
      <c r="K178" s="3"/>
      <c r="L178" s="2"/>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2"/>
      <c r="J179" s="2"/>
      <c r="K179" s="3"/>
      <c r="L179" s="2"/>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2"/>
      <c r="J180" s="2"/>
      <c r="K180" s="3"/>
      <c r="L180" s="2"/>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2"/>
      <c r="J181" s="2"/>
      <c r="K181" s="3"/>
      <c r="L181" s="2"/>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2"/>
      <c r="J182" s="2"/>
      <c r="K182" s="3"/>
      <c r="L182" s="2"/>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2"/>
      <c r="J183" s="2"/>
      <c r="K183" s="3"/>
      <c r="L183" s="2"/>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2"/>
      <c r="J184" s="2"/>
      <c r="K184" s="3"/>
      <c r="L184" s="2"/>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2"/>
      <c r="J185" s="2"/>
      <c r="K185" s="3"/>
      <c r="L185" s="2"/>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2"/>
      <c r="J186" s="2"/>
      <c r="K186" s="3"/>
      <c r="L186" s="2"/>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2"/>
      <c r="J187" s="2"/>
      <c r="K187" s="3"/>
      <c r="L187" s="2"/>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2"/>
      <c r="J188" s="2"/>
      <c r="K188" s="3"/>
      <c r="L188" s="2"/>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2"/>
      <c r="J189" s="2"/>
      <c r="K189" s="3"/>
      <c r="L189" s="2"/>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2"/>
      <c r="J190" s="2"/>
      <c r="K190" s="3"/>
      <c r="L190" s="2"/>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2"/>
      <c r="J191" s="2"/>
      <c r="K191" s="3"/>
      <c r="L191" s="2"/>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2"/>
      <c r="J192" s="2"/>
      <c r="K192" s="3"/>
      <c r="L192" s="2"/>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2"/>
      <c r="J193" s="2"/>
      <c r="K193" s="3"/>
      <c r="L193" s="2"/>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2"/>
      <c r="J194" s="2"/>
      <c r="K194" s="3"/>
      <c r="L194" s="2"/>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2"/>
      <c r="J195" s="2"/>
      <c r="K195" s="3"/>
      <c r="L195" s="2"/>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2"/>
      <c r="J196" s="2"/>
      <c r="K196" s="3"/>
      <c r="L196" s="2"/>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2"/>
      <c r="J197" s="2"/>
      <c r="K197" s="3"/>
      <c r="L197" s="2"/>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2"/>
      <c r="J198" s="2"/>
      <c r="K198" s="3"/>
      <c r="L198" s="2"/>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2"/>
      <c r="J199" s="2"/>
      <c r="K199" s="3"/>
      <c r="L199" s="2"/>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2"/>
      <c r="J200" s="2"/>
      <c r="K200" s="3"/>
      <c r="L200" s="2"/>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2"/>
      <c r="J201" s="2"/>
      <c r="K201" s="3"/>
      <c r="L201" s="2"/>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2"/>
      <c r="J202" s="2"/>
      <c r="K202" s="3"/>
      <c r="L202" s="2"/>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2"/>
      <c r="J203" s="2"/>
      <c r="K203" s="3"/>
      <c r="L203" s="2"/>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2"/>
      <c r="J204" s="2"/>
      <c r="K204" s="3"/>
      <c r="L204" s="2"/>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2"/>
      <c r="J205" s="2"/>
      <c r="K205" s="3"/>
      <c r="L205" s="2"/>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2"/>
      <c r="J206" s="2"/>
      <c r="K206" s="3"/>
      <c r="L206" s="2"/>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2"/>
      <c r="J207" s="2"/>
      <c r="K207" s="3"/>
      <c r="L207" s="2"/>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2"/>
      <c r="J208" s="2"/>
      <c r="K208" s="3"/>
      <c r="L208" s="2"/>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2"/>
      <c r="J209" s="2"/>
      <c r="K209" s="3"/>
      <c r="L209" s="2"/>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2"/>
      <c r="J210" s="2"/>
      <c r="K210" s="3"/>
      <c r="L210" s="2"/>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2"/>
      <c r="J211" s="2"/>
      <c r="K211" s="3"/>
      <c r="L211" s="2"/>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2"/>
      <c r="J212" s="2"/>
      <c r="K212" s="3"/>
      <c r="L212" s="2"/>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2"/>
      <c r="J213" s="2"/>
      <c r="K213" s="3"/>
      <c r="L213" s="2"/>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2"/>
      <c r="J214" s="2"/>
      <c r="K214" s="3"/>
      <c r="L214" s="2"/>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2"/>
      <c r="J215" s="2"/>
      <c r="K215" s="3"/>
      <c r="L215" s="2"/>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2"/>
      <c r="J216" s="2"/>
      <c r="K216" s="3"/>
      <c r="L216" s="2"/>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2"/>
      <c r="J217" s="2"/>
      <c r="K217" s="3"/>
      <c r="L217" s="2"/>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2"/>
      <c r="J218" s="2"/>
      <c r="K218" s="3"/>
      <c r="L218" s="2"/>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2"/>
      <c r="J219" s="2"/>
      <c r="K219" s="3"/>
      <c r="L219" s="2"/>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2"/>
      <c r="J220" s="2"/>
      <c r="K220" s="3"/>
      <c r="L220" s="2"/>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2"/>
      <c r="J221" s="2"/>
      <c r="K221" s="3"/>
      <c r="L221" s="2"/>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2"/>
      <c r="J222" s="2"/>
      <c r="K222" s="3"/>
      <c r="L222" s="2"/>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2"/>
      <c r="J223" s="2"/>
      <c r="K223" s="3"/>
      <c r="L223" s="2"/>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2"/>
      <c r="J224" s="2"/>
      <c r="K224" s="3"/>
      <c r="L224" s="2"/>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2"/>
      <c r="J225" s="2"/>
      <c r="K225" s="3"/>
      <c r="L225" s="2"/>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2"/>
      <c r="J226" s="2"/>
      <c r="K226" s="3"/>
      <c r="L226" s="2"/>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2"/>
      <c r="J227" s="2"/>
      <c r="K227" s="3"/>
      <c r="L227" s="2"/>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2"/>
      <c r="J228" s="2"/>
      <c r="K228" s="3"/>
      <c r="L228" s="2"/>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2"/>
      <c r="J229" s="2"/>
      <c r="K229" s="3"/>
      <c r="L229" s="2"/>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2"/>
      <c r="J230" s="2"/>
      <c r="K230" s="3"/>
      <c r="L230" s="2"/>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2"/>
      <c r="J231" s="2"/>
      <c r="K231" s="3"/>
      <c r="L231" s="2"/>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2"/>
      <c r="J232" s="2"/>
      <c r="K232" s="3"/>
      <c r="L232" s="2"/>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2"/>
      <c r="J233" s="2"/>
      <c r="K233" s="3"/>
      <c r="L233" s="2"/>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2"/>
      <c r="J234" s="2"/>
      <c r="K234" s="3"/>
      <c r="L234" s="2"/>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2"/>
      <c r="J235" s="2"/>
      <c r="K235" s="3"/>
      <c r="L235" s="2"/>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2"/>
      <c r="J236" s="2"/>
      <c r="K236" s="3"/>
      <c r="L236" s="2"/>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2"/>
      <c r="J237" s="2"/>
      <c r="K237" s="3"/>
      <c r="L237" s="2"/>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2"/>
      <c r="J238" s="2"/>
      <c r="K238" s="3"/>
      <c r="L238" s="2"/>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2"/>
      <c r="J239" s="2"/>
      <c r="K239" s="3"/>
      <c r="L239" s="2"/>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2"/>
      <c r="J240" s="2"/>
      <c r="K240" s="3"/>
      <c r="L240" s="2"/>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2"/>
      <c r="J241" s="2"/>
      <c r="K241" s="3"/>
      <c r="L241" s="2"/>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2"/>
      <c r="J242" s="2"/>
      <c r="K242" s="3"/>
      <c r="L242" s="2"/>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2"/>
      <c r="J243" s="2"/>
      <c r="K243" s="3"/>
      <c r="L243" s="2"/>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2"/>
      <c r="J244" s="2"/>
      <c r="K244" s="3"/>
      <c r="L244" s="2"/>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2"/>
      <c r="J245" s="2"/>
      <c r="K245" s="3"/>
      <c r="L245" s="2"/>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2"/>
      <c r="J246" s="2"/>
      <c r="K246" s="3"/>
      <c r="L246" s="2"/>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2"/>
      <c r="J247" s="2"/>
      <c r="K247" s="3"/>
      <c r="L247" s="2"/>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2"/>
      <c r="J248" s="2"/>
      <c r="K248" s="3"/>
      <c r="L248" s="2"/>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2"/>
      <c r="J249" s="2"/>
      <c r="K249" s="3"/>
      <c r="L249" s="2"/>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2"/>
      <c r="J250" s="2"/>
      <c r="K250" s="3"/>
      <c r="L250" s="2"/>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2"/>
      <c r="J251" s="2"/>
      <c r="K251" s="3"/>
      <c r="L251" s="2"/>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2"/>
      <c r="J252" s="2"/>
      <c r="K252" s="3"/>
      <c r="L252" s="2"/>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2"/>
      <c r="J253" s="2"/>
      <c r="K253" s="3"/>
      <c r="L253" s="2"/>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2"/>
      <c r="J254" s="2"/>
      <c r="K254" s="3"/>
      <c r="L254" s="2"/>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2"/>
      <c r="J255" s="2"/>
      <c r="K255" s="3"/>
      <c r="L255" s="2"/>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2"/>
      <c r="J256" s="2"/>
      <c r="K256" s="3"/>
      <c r="L256" s="2"/>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2"/>
      <c r="J257" s="2"/>
      <c r="K257" s="3"/>
      <c r="L257" s="2"/>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2"/>
      <c r="J258" s="2"/>
      <c r="K258" s="3"/>
      <c r="L258" s="2"/>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2"/>
      <c r="J259" s="2"/>
      <c r="K259" s="3"/>
      <c r="L259" s="2"/>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2"/>
      <c r="J260" s="2"/>
      <c r="K260" s="3"/>
      <c r="L260" s="2"/>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2"/>
      <c r="J261" s="2"/>
      <c r="K261" s="3"/>
      <c r="L261" s="2"/>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2"/>
      <c r="J262" s="2"/>
      <c r="K262" s="3"/>
      <c r="L262" s="2"/>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2"/>
      <c r="J263" s="2"/>
      <c r="K263" s="3"/>
      <c r="L263" s="2"/>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2"/>
      <c r="J264" s="2"/>
      <c r="K264" s="3"/>
      <c r="L264" s="2"/>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2"/>
      <c r="J265" s="2"/>
      <c r="K265" s="3"/>
      <c r="L265" s="2"/>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2"/>
      <c r="J266" s="2"/>
      <c r="K266" s="3"/>
      <c r="L266" s="2"/>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2"/>
      <c r="J267" s="2"/>
      <c r="K267" s="3"/>
      <c r="L267" s="2"/>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2"/>
      <c r="J268" s="2"/>
      <c r="K268" s="3"/>
      <c r="L268" s="2"/>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2"/>
      <c r="J269" s="2"/>
      <c r="K269" s="3"/>
      <c r="L269" s="2"/>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2"/>
      <c r="J270" s="2"/>
      <c r="K270" s="3"/>
      <c r="L270" s="2"/>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2"/>
      <c r="J271" s="2"/>
      <c r="K271" s="3"/>
      <c r="L271" s="2"/>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2"/>
      <c r="J272" s="2"/>
      <c r="K272" s="3"/>
      <c r="L272" s="2"/>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2"/>
      <c r="J273" s="2"/>
      <c r="K273" s="3"/>
      <c r="L273" s="2"/>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2"/>
      <c r="J274" s="2"/>
      <c r="K274" s="3"/>
      <c r="L274" s="2"/>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2"/>
      <c r="J275" s="2"/>
      <c r="K275" s="3"/>
      <c r="L275" s="2"/>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2"/>
      <c r="J276" s="2"/>
      <c r="K276" s="3"/>
      <c r="L276" s="2"/>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2"/>
      <c r="J277" s="2"/>
      <c r="K277" s="3"/>
      <c r="L277" s="2"/>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2"/>
      <c r="J278" s="2"/>
      <c r="K278" s="3"/>
      <c r="L278" s="2"/>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2"/>
      <c r="J279" s="2"/>
      <c r="K279" s="3"/>
      <c r="L279" s="2"/>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2"/>
      <c r="J280" s="2"/>
      <c r="K280" s="3"/>
      <c r="L280" s="2"/>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2"/>
      <c r="J281" s="2"/>
      <c r="K281" s="3"/>
      <c r="L281" s="2"/>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2"/>
      <c r="J282" s="2"/>
      <c r="K282" s="3"/>
      <c r="L282" s="2"/>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2"/>
      <c r="J283" s="2"/>
      <c r="K283" s="3"/>
      <c r="L283" s="2"/>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2"/>
      <c r="J284" s="2"/>
      <c r="K284" s="3"/>
      <c r="L284" s="2"/>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2"/>
      <c r="J285" s="2"/>
      <c r="K285" s="3"/>
      <c r="L285" s="2"/>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2"/>
      <c r="J286" s="2"/>
      <c r="K286" s="3"/>
      <c r="L286" s="2"/>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2"/>
      <c r="J287" s="2"/>
      <c r="K287" s="3"/>
      <c r="L287" s="2"/>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2"/>
      <c r="J288" s="2"/>
      <c r="K288" s="3"/>
      <c r="L288" s="2"/>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2"/>
      <c r="J289" s="2"/>
      <c r="K289" s="3"/>
      <c r="L289" s="2"/>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2"/>
      <c r="J290" s="2"/>
      <c r="K290" s="3"/>
      <c r="L290" s="2"/>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2"/>
      <c r="J291" s="2"/>
      <c r="K291" s="3"/>
      <c r="L291" s="2"/>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2"/>
      <c r="J292" s="2"/>
      <c r="K292" s="3"/>
      <c r="L292" s="2"/>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2"/>
      <c r="J293" s="2"/>
      <c r="K293" s="3"/>
      <c r="L293" s="2"/>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2"/>
      <c r="J294" s="2"/>
      <c r="K294" s="3"/>
      <c r="L294" s="2"/>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2"/>
      <c r="J295" s="2"/>
      <c r="K295" s="3"/>
      <c r="L295" s="2"/>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2"/>
      <c r="J296" s="2"/>
      <c r="K296" s="3"/>
      <c r="L296" s="2"/>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2"/>
      <c r="J297" s="2"/>
      <c r="K297" s="3"/>
      <c r="L297" s="2"/>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2"/>
      <c r="J298" s="2"/>
      <c r="K298" s="3"/>
      <c r="L298" s="2"/>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2"/>
      <c r="J299" s="2"/>
      <c r="K299" s="3"/>
      <c r="L299" s="2"/>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2"/>
      <c r="J300" s="2"/>
      <c r="K300" s="3"/>
      <c r="L300" s="2"/>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2"/>
      <c r="J301" s="2"/>
      <c r="K301" s="3"/>
      <c r="L301" s="2"/>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2"/>
      <c r="J302" s="2"/>
      <c r="K302" s="3"/>
      <c r="L302" s="2"/>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2"/>
      <c r="J303" s="2"/>
      <c r="K303" s="3"/>
      <c r="L303" s="2"/>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2"/>
      <c r="J304" s="2"/>
      <c r="K304" s="3"/>
      <c r="L304" s="2"/>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2"/>
      <c r="J305" s="2"/>
      <c r="K305" s="3"/>
      <c r="L305" s="2"/>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2"/>
      <c r="J306" s="2"/>
      <c r="K306" s="3"/>
      <c r="L306" s="2"/>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2"/>
      <c r="J307" s="2"/>
      <c r="K307" s="3"/>
      <c r="L307" s="2"/>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2"/>
      <c r="J308" s="2"/>
      <c r="K308" s="3"/>
      <c r="L308" s="2"/>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2"/>
      <c r="J309" s="2"/>
      <c r="K309" s="3"/>
      <c r="L309" s="2"/>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2"/>
      <c r="J310" s="2"/>
      <c r="K310" s="3"/>
      <c r="L310" s="2"/>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2"/>
      <c r="J311" s="2"/>
      <c r="K311" s="3"/>
      <c r="L311" s="2"/>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2"/>
      <c r="J312" s="2"/>
      <c r="K312" s="3"/>
      <c r="L312" s="2"/>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2"/>
      <c r="J313" s="2"/>
      <c r="K313" s="3"/>
      <c r="L313" s="2"/>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2"/>
      <c r="J314" s="2"/>
      <c r="K314" s="3"/>
      <c r="L314" s="2"/>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2"/>
      <c r="J315" s="2"/>
      <c r="K315" s="3"/>
      <c r="L315" s="2"/>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2"/>
      <c r="J316" s="2"/>
      <c r="K316" s="3"/>
      <c r="L316" s="2"/>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2"/>
      <c r="J317" s="2"/>
      <c r="K317" s="3"/>
      <c r="L317" s="2"/>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2"/>
      <c r="J318" s="2"/>
      <c r="K318" s="3"/>
      <c r="L318" s="2"/>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2"/>
      <c r="J319" s="2"/>
      <c r="K319" s="3"/>
      <c r="L319" s="2"/>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2"/>
      <c r="J320" s="2"/>
      <c r="K320" s="3"/>
      <c r="L320" s="2"/>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2"/>
      <c r="J321" s="2"/>
      <c r="K321" s="3"/>
      <c r="L321" s="2"/>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2"/>
      <c r="J322" s="2"/>
      <c r="K322" s="3"/>
      <c r="L322" s="2"/>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2"/>
      <c r="J323" s="2"/>
      <c r="K323" s="3"/>
      <c r="L323" s="2"/>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2"/>
      <c r="J324" s="2"/>
      <c r="K324" s="3"/>
      <c r="L324" s="2"/>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2"/>
      <c r="J325" s="2"/>
      <c r="K325" s="3"/>
      <c r="L325" s="2"/>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2"/>
      <c r="J326" s="2"/>
      <c r="K326" s="3"/>
      <c r="L326" s="2"/>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2"/>
      <c r="J327" s="2"/>
      <c r="K327" s="3"/>
      <c r="L327" s="2"/>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2"/>
      <c r="J328" s="2"/>
      <c r="K328" s="3"/>
      <c r="L328" s="2"/>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2"/>
      <c r="J329" s="2"/>
      <c r="K329" s="3"/>
      <c r="L329" s="2"/>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2"/>
      <c r="J330" s="2"/>
      <c r="K330" s="3"/>
      <c r="L330" s="2"/>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2"/>
      <c r="J331" s="2"/>
      <c r="K331" s="3"/>
      <c r="L331" s="2"/>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2"/>
      <c r="J332" s="2"/>
      <c r="K332" s="3"/>
      <c r="L332" s="2"/>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2"/>
      <c r="J333" s="2"/>
      <c r="K333" s="3"/>
      <c r="L333" s="2"/>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2"/>
      <c r="J334" s="2"/>
      <c r="K334" s="3"/>
      <c r="L334" s="2"/>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2"/>
      <c r="J335" s="2"/>
      <c r="K335" s="3"/>
      <c r="L335" s="2"/>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2"/>
      <c r="J336" s="2"/>
      <c r="K336" s="3"/>
      <c r="L336" s="2"/>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2"/>
      <c r="J337" s="2"/>
      <c r="K337" s="3"/>
      <c r="L337" s="2"/>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2"/>
      <c r="J338" s="2"/>
      <c r="K338" s="3"/>
      <c r="L338" s="2"/>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2"/>
      <c r="J339" s="2"/>
      <c r="K339" s="3"/>
      <c r="L339" s="2"/>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2"/>
      <c r="J340" s="2"/>
      <c r="K340" s="3"/>
      <c r="L340" s="2"/>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2"/>
      <c r="J341" s="2"/>
      <c r="K341" s="3"/>
      <c r="L341" s="2"/>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2"/>
      <c r="J342" s="2"/>
      <c r="K342" s="3"/>
      <c r="L342" s="2"/>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2"/>
      <c r="J343" s="2"/>
      <c r="K343" s="3"/>
      <c r="L343" s="2"/>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2"/>
      <c r="J344" s="2"/>
      <c r="K344" s="3"/>
      <c r="L344" s="2"/>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2"/>
      <c r="J345" s="2"/>
      <c r="K345" s="3"/>
      <c r="L345" s="2"/>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2"/>
      <c r="J346" s="2"/>
      <c r="K346" s="3"/>
      <c r="L346" s="2"/>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2"/>
      <c r="J347" s="2"/>
      <c r="K347" s="3"/>
      <c r="L347" s="2"/>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2"/>
      <c r="J348" s="2"/>
      <c r="K348" s="3"/>
      <c r="L348" s="2"/>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2"/>
      <c r="J349" s="2"/>
      <c r="K349" s="3"/>
      <c r="L349" s="2"/>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2"/>
      <c r="J350" s="2"/>
      <c r="K350" s="3"/>
      <c r="L350" s="2"/>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2"/>
      <c r="J351" s="2"/>
      <c r="K351" s="3"/>
      <c r="L351" s="2"/>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2"/>
      <c r="J352" s="2"/>
      <c r="K352" s="3"/>
      <c r="L352" s="2"/>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2"/>
      <c r="J353" s="2"/>
      <c r="K353" s="3"/>
      <c r="L353" s="2"/>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2"/>
      <c r="J354" s="2"/>
      <c r="K354" s="3"/>
      <c r="L354" s="2"/>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2"/>
      <c r="J355" s="2"/>
      <c r="K355" s="3"/>
      <c r="L355" s="2"/>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2"/>
      <c r="J356" s="2"/>
      <c r="K356" s="3"/>
      <c r="L356" s="2"/>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2"/>
      <c r="J357" s="2"/>
      <c r="K357" s="3"/>
      <c r="L357" s="2"/>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2"/>
      <c r="J358" s="2"/>
      <c r="K358" s="3"/>
      <c r="L358" s="2"/>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2"/>
      <c r="J359" s="2"/>
      <c r="K359" s="3"/>
      <c r="L359" s="2"/>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2"/>
      <c r="J360" s="2"/>
      <c r="K360" s="3"/>
      <c r="L360" s="2"/>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2"/>
      <c r="J361" s="2"/>
      <c r="K361" s="3"/>
      <c r="L361" s="2"/>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2"/>
      <c r="J362" s="2"/>
      <c r="K362" s="3"/>
      <c r="L362" s="2"/>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2"/>
      <c r="J363" s="2"/>
      <c r="K363" s="3"/>
      <c r="L363" s="2"/>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2"/>
      <c r="J364" s="2"/>
      <c r="K364" s="3"/>
      <c r="L364" s="2"/>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2"/>
      <c r="J365" s="2"/>
      <c r="K365" s="3"/>
      <c r="L365" s="2"/>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2"/>
      <c r="J366" s="2"/>
      <c r="K366" s="3"/>
      <c r="L366" s="2"/>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2"/>
      <c r="J367" s="2"/>
      <c r="K367" s="3"/>
      <c r="L367" s="2"/>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2"/>
      <c r="J368" s="2"/>
      <c r="K368" s="3"/>
      <c r="L368" s="2"/>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2"/>
      <c r="J369" s="2"/>
      <c r="K369" s="3"/>
      <c r="L369" s="2"/>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2"/>
      <c r="J370" s="2"/>
      <c r="K370" s="3"/>
      <c r="L370" s="2"/>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2"/>
      <c r="J371" s="2"/>
      <c r="K371" s="3"/>
      <c r="L371" s="2"/>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2"/>
      <c r="J372" s="2"/>
      <c r="K372" s="3"/>
      <c r="L372" s="2"/>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2"/>
      <c r="J373" s="2"/>
      <c r="K373" s="3"/>
      <c r="L373" s="2"/>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2"/>
      <c r="J374" s="2"/>
      <c r="K374" s="3"/>
      <c r="L374" s="2"/>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2"/>
      <c r="J375" s="2"/>
      <c r="K375" s="3"/>
      <c r="L375" s="2"/>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2"/>
      <c r="J376" s="2"/>
      <c r="K376" s="3"/>
      <c r="L376" s="2"/>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2"/>
      <c r="J377" s="2"/>
      <c r="K377" s="3"/>
      <c r="L377" s="2"/>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2"/>
      <c r="J378" s="2"/>
      <c r="K378" s="3"/>
      <c r="L378" s="2"/>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2"/>
      <c r="J379" s="2"/>
      <c r="K379" s="3"/>
      <c r="L379" s="2"/>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2"/>
      <c r="J380" s="2"/>
      <c r="K380" s="3"/>
      <c r="L380" s="2"/>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2"/>
      <c r="J381" s="2"/>
      <c r="K381" s="3"/>
      <c r="L381" s="2"/>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2"/>
      <c r="J382" s="2"/>
      <c r="K382" s="3"/>
      <c r="L382" s="2"/>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2"/>
      <c r="J383" s="2"/>
      <c r="K383" s="3"/>
      <c r="L383" s="2"/>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2"/>
      <c r="J384" s="2"/>
      <c r="K384" s="3"/>
      <c r="L384" s="2"/>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2"/>
      <c r="J385" s="2"/>
      <c r="K385" s="3"/>
      <c r="L385" s="2"/>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2"/>
      <c r="J386" s="2"/>
      <c r="K386" s="3"/>
      <c r="L386" s="2"/>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2"/>
      <c r="J387" s="2"/>
      <c r="K387" s="3"/>
      <c r="L387" s="2"/>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2"/>
      <c r="J388" s="2"/>
      <c r="K388" s="3"/>
      <c r="L388" s="2"/>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2"/>
      <c r="J389" s="2"/>
      <c r="K389" s="3"/>
      <c r="L389" s="2"/>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2"/>
      <c r="J390" s="2"/>
      <c r="K390" s="3"/>
      <c r="L390" s="2"/>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2"/>
      <c r="J391" s="2"/>
      <c r="K391" s="3"/>
      <c r="L391" s="2"/>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2"/>
      <c r="J392" s="2"/>
      <c r="K392" s="3"/>
      <c r="L392" s="2"/>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2"/>
      <c r="J393" s="2"/>
      <c r="K393" s="3"/>
      <c r="L393" s="2"/>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2"/>
      <c r="J394" s="2"/>
      <c r="K394" s="3"/>
      <c r="L394" s="2"/>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2"/>
      <c r="J395" s="2"/>
      <c r="K395" s="3"/>
      <c r="L395" s="2"/>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2"/>
      <c r="J396" s="2"/>
      <c r="K396" s="3"/>
      <c r="L396" s="2"/>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2"/>
      <c r="J397" s="2"/>
      <c r="K397" s="3"/>
      <c r="L397" s="2"/>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2"/>
      <c r="J398" s="2"/>
      <c r="K398" s="3"/>
      <c r="L398" s="2"/>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2"/>
      <c r="J399" s="2"/>
      <c r="K399" s="3"/>
      <c r="L399" s="2"/>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2"/>
      <c r="J400" s="2"/>
      <c r="K400" s="3"/>
      <c r="L400" s="2"/>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2"/>
      <c r="J401" s="2"/>
      <c r="K401" s="3"/>
      <c r="L401" s="2"/>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2"/>
      <c r="J402" s="2"/>
      <c r="K402" s="3"/>
      <c r="L402" s="2"/>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2"/>
      <c r="J403" s="2"/>
      <c r="K403" s="3"/>
      <c r="L403" s="2"/>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2"/>
      <c r="J404" s="2"/>
      <c r="K404" s="3"/>
      <c r="L404" s="2"/>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2"/>
      <c r="J405" s="2"/>
      <c r="K405" s="3"/>
      <c r="L405" s="2"/>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2"/>
      <c r="J406" s="2"/>
      <c r="K406" s="3"/>
      <c r="L406" s="2"/>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2"/>
      <c r="J407" s="2"/>
      <c r="K407" s="3"/>
      <c r="L407" s="2"/>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2"/>
      <c r="J408" s="2"/>
      <c r="K408" s="3"/>
      <c r="L408" s="2"/>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2"/>
      <c r="J409" s="2"/>
      <c r="K409" s="3"/>
      <c r="L409" s="2"/>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2"/>
      <c r="J410" s="2"/>
      <c r="K410" s="3"/>
      <c r="L410" s="2"/>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2"/>
      <c r="J411" s="2"/>
      <c r="K411" s="3"/>
      <c r="L411" s="2"/>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2"/>
      <c r="J412" s="2"/>
      <c r="K412" s="3"/>
      <c r="L412" s="2"/>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2"/>
      <c r="J413" s="2"/>
      <c r="K413" s="3"/>
      <c r="L413" s="2"/>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2"/>
      <c r="J414" s="2"/>
      <c r="K414" s="3"/>
      <c r="L414" s="2"/>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2"/>
      <c r="J415" s="2"/>
      <c r="K415" s="3"/>
      <c r="L415" s="2"/>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2"/>
      <c r="J416" s="2"/>
      <c r="K416" s="3"/>
      <c r="L416" s="2"/>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2"/>
      <c r="J417" s="2"/>
      <c r="K417" s="3"/>
      <c r="L417" s="2"/>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2"/>
      <c r="J418" s="2"/>
      <c r="K418" s="3"/>
      <c r="L418" s="2"/>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2"/>
      <c r="J419" s="2"/>
      <c r="K419" s="3"/>
      <c r="L419" s="2"/>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2"/>
      <c r="J420" s="2"/>
      <c r="K420" s="3"/>
      <c r="L420" s="2"/>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2"/>
      <c r="J421" s="2"/>
      <c r="K421" s="3"/>
      <c r="L421" s="2"/>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2"/>
      <c r="J422" s="2"/>
      <c r="K422" s="3"/>
      <c r="L422" s="2"/>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2"/>
      <c r="J423" s="2"/>
      <c r="K423" s="3"/>
      <c r="L423" s="2"/>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2"/>
      <c r="J424" s="2"/>
      <c r="K424" s="3"/>
      <c r="L424" s="2"/>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2"/>
      <c r="J425" s="2"/>
      <c r="K425" s="3"/>
      <c r="L425" s="2"/>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2"/>
      <c r="J426" s="2"/>
      <c r="K426" s="3"/>
      <c r="L426" s="2"/>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2"/>
      <c r="J427" s="2"/>
      <c r="K427" s="3"/>
      <c r="L427" s="2"/>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2"/>
      <c r="J428" s="2"/>
      <c r="K428" s="3"/>
      <c r="L428" s="2"/>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2"/>
      <c r="J429" s="2"/>
      <c r="K429" s="3"/>
      <c r="L429" s="2"/>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2"/>
      <c r="J430" s="2"/>
      <c r="K430" s="3"/>
      <c r="L430" s="2"/>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2"/>
      <c r="J431" s="2"/>
      <c r="K431" s="3"/>
      <c r="L431" s="2"/>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2"/>
      <c r="J432" s="2"/>
      <c r="K432" s="3"/>
      <c r="L432" s="2"/>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2"/>
      <c r="J433" s="2"/>
      <c r="K433" s="3"/>
      <c r="L433" s="2"/>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2"/>
      <c r="J434" s="2"/>
      <c r="K434" s="3"/>
      <c r="L434" s="2"/>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2"/>
      <c r="J435" s="2"/>
      <c r="K435" s="3"/>
      <c r="L435" s="2"/>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2"/>
      <c r="J436" s="2"/>
      <c r="K436" s="3"/>
      <c r="L436" s="2"/>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2"/>
      <c r="J437" s="2"/>
      <c r="K437" s="3"/>
      <c r="L437" s="2"/>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2"/>
      <c r="J438" s="2"/>
      <c r="K438" s="3"/>
      <c r="L438" s="2"/>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2"/>
      <c r="J439" s="2"/>
      <c r="K439" s="3"/>
      <c r="L439" s="2"/>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2"/>
      <c r="J440" s="2"/>
      <c r="K440" s="3"/>
      <c r="L440" s="2"/>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2"/>
      <c r="J441" s="2"/>
      <c r="K441" s="3"/>
      <c r="L441" s="2"/>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2"/>
      <c r="J442" s="2"/>
      <c r="K442" s="3"/>
      <c r="L442" s="2"/>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2"/>
      <c r="J443" s="2"/>
      <c r="K443" s="3"/>
      <c r="L443" s="2"/>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2"/>
      <c r="J444" s="2"/>
      <c r="K444" s="3"/>
      <c r="L444" s="2"/>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2"/>
      <c r="J445" s="2"/>
      <c r="K445" s="3"/>
      <c r="L445" s="2"/>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2"/>
      <c r="J446" s="2"/>
      <c r="K446" s="3"/>
      <c r="L446" s="2"/>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2"/>
      <c r="J447" s="2"/>
      <c r="K447" s="3"/>
      <c r="L447" s="2"/>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2"/>
      <c r="J448" s="2"/>
      <c r="K448" s="3"/>
      <c r="L448" s="2"/>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2"/>
      <c r="J449" s="2"/>
      <c r="K449" s="3"/>
      <c r="L449" s="2"/>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2"/>
      <c r="J450" s="2"/>
      <c r="K450" s="3"/>
      <c r="L450" s="2"/>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2"/>
      <c r="J451" s="2"/>
      <c r="K451" s="3"/>
      <c r="L451" s="2"/>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2"/>
      <c r="J452" s="2"/>
      <c r="K452" s="3"/>
      <c r="L452" s="2"/>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2"/>
      <c r="J453" s="2"/>
      <c r="K453" s="3"/>
      <c r="L453" s="2"/>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2"/>
      <c r="J454" s="2"/>
      <c r="K454" s="3"/>
      <c r="L454" s="2"/>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2"/>
      <c r="J455" s="2"/>
      <c r="K455" s="3"/>
      <c r="L455" s="2"/>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2"/>
      <c r="J456" s="2"/>
      <c r="K456" s="3"/>
      <c r="L456" s="2"/>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2"/>
      <c r="J457" s="2"/>
      <c r="K457" s="3"/>
      <c r="L457" s="2"/>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2"/>
      <c r="J458" s="2"/>
      <c r="K458" s="3"/>
      <c r="L458" s="2"/>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2"/>
      <c r="J459" s="2"/>
      <c r="K459" s="3"/>
      <c r="L459" s="2"/>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2"/>
      <c r="J460" s="2"/>
      <c r="K460" s="3"/>
      <c r="L460" s="2"/>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2"/>
      <c r="J461" s="2"/>
      <c r="K461" s="3"/>
      <c r="L461" s="2"/>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2"/>
      <c r="J462" s="2"/>
      <c r="K462" s="3"/>
      <c r="L462" s="2"/>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2"/>
      <c r="J463" s="2"/>
      <c r="K463" s="3"/>
      <c r="L463" s="2"/>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2"/>
      <c r="J464" s="2"/>
      <c r="K464" s="3"/>
      <c r="L464" s="2"/>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2"/>
      <c r="J465" s="2"/>
      <c r="K465" s="3"/>
      <c r="L465" s="2"/>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2"/>
      <c r="J466" s="2"/>
      <c r="K466" s="3"/>
      <c r="L466" s="2"/>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2"/>
      <c r="J467" s="2"/>
      <c r="K467" s="3"/>
      <c r="L467" s="2"/>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2"/>
      <c r="J468" s="2"/>
      <c r="K468" s="3"/>
      <c r="L468" s="2"/>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2"/>
      <c r="J469" s="2"/>
      <c r="K469" s="3"/>
      <c r="L469" s="2"/>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2"/>
      <c r="J470" s="2"/>
      <c r="K470" s="3"/>
      <c r="L470" s="2"/>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2"/>
      <c r="J471" s="2"/>
      <c r="K471" s="3"/>
      <c r="L471" s="2"/>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2"/>
      <c r="J472" s="2"/>
      <c r="K472" s="3"/>
      <c r="L472" s="2"/>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2"/>
      <c r="J473" s="2"/>
      <c r="K473" s="3"/>
      <c r="L473" s="2"/>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2"/>
      <c r="J474" s="2"/>
      <c r="K474" s="3"/>
      <c r="L474" s="2"/>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2"/>
      <c r="J475" s="2"/>
      <c r="K475" s="3"/>
      <c r="L475" s="2"/>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2"/>
      <c r="J476" s="2"/>
      <c r="K476" s="3"/>
      <c r="L476" s="2"/>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2"/>
      <c r="J477" s="2"/>
      <c r="K477" s="3"/>
      <c r="L477" s="2"/>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2"/>
      <c r="J478" s="2"/>
      <c r="K478" s="3"/>
      <c r="L478" s="2"/>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2"/>
      <c r="J479" s="2"/>
      <c r="K479" s="3"/>
      <c r="L479" s="2"/>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2"/>
      <c r="J480" s="2"/>
      <c r="K480" s="3"/>
      <c r="L480" s="2"/>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2"/>
      <c r="J481" s="2"/>
      <c r="K481" s="3"/>
      <c r="L481" s="2"/>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2"/>
      <c r="J482" s="2"/>
      <c r="K482" s="3"/>
      <c r="L482" s="2"/>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2"/>
      <c r="J483" s="2"/>
      <c r="K483" s="3"/>
      <c r="L483" s="2"/>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2"/>
      <c r="J484" s="2"/>
      <c r="K484" s="3"/>
      <c r="L484" s="2"/>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2"/>
      <c r="J485" s="2"/>
      <c r="K485" s="3"/>
      <c r="L485" s="2"/>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2"/>
      <c r="J486" s="2"/>
      <c r="K486" s="3"/>
      <c r="L486" s="2"/>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2"/>
      <c r="J487" s="2"/>
      <c r="K487" s="3"/>
      <c r="L487" s="2"/>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2"/>
      <c r="J488" s="2"/>
      <c r="K488" s="3"/>
      <c r="L488" s="2"/>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2"/>
      <c r="J489" s="2"/>
      <c r="K489" s="3"/>
      <c r="L489" s="2"/>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2"/>
      <c r="J490" s="2"/>
      <c r="K490" s="3"/>
      <c r="L490" s="2"/>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2"/>
      <c r="J491" s="2"/>
      <c r="K491" s="3"/>
      <c r="L491" s="2"/>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2"/>
      <c r="J492" s="2"/>
      <c r="K492" s="3"/>
      <c r="L492" s="2"/>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2"/>
      <c r="J493" s="2"/>
      <c r="K493" s="3"/>
      <c r="L493" s="2"/>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2"/>
      <c r="J494" s="2"/>
      <c r="K494" s="3"/>
      <c r="L494" s="2"/>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2"/>
      <c r="J495" s="2"/>
      <c r="K495" s="3"/>
      <c r="L495" s="2"/>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2"/>
      <c r="J496" s="2"/>
      <c r="K496" s="3"/>
      <c r="L496" s="2"/>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2"/>
      <c r="J497" s="2"/>
      <c r="K497" s="3"/>
      <c r="L497" s="2"/>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2"/>
      <c r="J498" s="2"/>
      <c r="K498" s="3"/>
      <c r="L498" s="2"/>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2"/>
      <c r="J499" s="2"/>
      <c r="K499" s="3"/>
      <c r="L499" s="2"/>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2"/>
      <c r="J500" s="2"/>
      <c r="K500" s="3"/>
      <c r="L500" s="2"/>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2"/>
      <c r="J501" s="2"/>
      <c r="K501" s="3"/>
      <c r="L501" s="2"/>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2"/>
      <c r="J502" s="2"/>
      <c r="K502" s="3"/>
      <c r="L502" s="2"/>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2"/>
      <c r="J503" s="2"/>
      <c r="K503" s="3"/>
      <c r="L503" s="2"/>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2"/>
      <c r="J504" s="2"/>
      <c r="K504" s="3"/>
      <c r="L504" s="2"/>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2"/>
      <c r="J505" s="2"/>
      <c r="K505" s="3"/>
      <c r="L505" s="2"/>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2"/>
      <c r="J506" s="2"/>
      <c r="K506" s="3"/>
      <c r="L506" s="2"/>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2"/>
      <c r="J507" s="2"/>
      <c r="K507" s="3"/>
      <c r="L507" s="2"/>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2"/>
      <c r="J508" s="2"/>
      <c r="K508" s="3"/>
      <c r="L508" s="2"/>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2"/>
      <c r="J509" s="2"/>
      <c r="K509" s="3"/>
      <c r="L509" s="2"/>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2"/>
      <c r="J510" s="2"/>
      <c r="K510" s="3"/>
      <c r="L510" s="2"/>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2"/>
      <c r="J511" s="2"/>
      <c r="K511" s="3"/>
      <c r="L511" s="2"/>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2"/>
      <c r="J512" s="2"/>
      <c r="K512" s="3"/>
      <c r="L512" s="2"/>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2"/>
      <c r="J513" s="2"/>
      <c r="K513" s="3"/>
      <c r="L513" s="2"/>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2"/>
      <c r="J514" s="2"/>
      <c r="K514" s="3"/>
      <c r="L514" s="2"/>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2"/>
      <c r="J515" s="2"/>
      <c r="K515" s="3"/>
      <c r="L515" s="2"/>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2"/>
      <c r="J516" s="2"/>
      <c r="K516" s="3"/>
      <c r="L516" s="2"/>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2"/>
      <c r="J517" s="2"/>
      <c r="K517" s="3"/>
      <c r="L517" s="2"/>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2"/>
      <c r="J518" s="2"/>
      <c r="K518" s="3"/>
      <c r="L518" s="2"/>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2"/>
      <c r="J519" s="2"/>
      <c r="K519" s="3"/>
      <c r="L519" s="2"/>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2"/>
      <c r="J520" s="2"/>
      <c r="K520" s="3"/>
      <c r="L520" s="2"/>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2"/>
      <c r="J521" s="2"/>
      <c r="K521" s="3"/>
      <c r="L521" s="2"/>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2"/>
      <c r="J522" s="2"/>
      <c r="K522" s="3"/>
      <c r="L522" s="2"/>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2"/>
      <c r="J523" s="2"/>
      <c r="K523" s="3"/>
      <c r="L523" s="2"/>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2"/>
      <c r="J524" s="2"/>
      <c r="K524" s="3"/>
      <c r="L524" s="2"/>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2"/>
      <c r="J525" s="2"/>
      <c r="K525" s="3"/>
      <c r="L525" s="2"/>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2"/>
      <c r="J526" s="2"/>
      <c r="K526" s="3"/>
      <c r="L526" s="2"/>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2"/>
      <c r="J527" s="2"/>
      <c r="K527" s="3"/>
      <c r="L527" s="2"/>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2"/>
      <c r="J528" s="2"/>
      <c r="K528" s="3"/>
      <c r="L528" s="2"/>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2"/>
      <c r="J529" s="2"/>
      <c r="K529" s="3"/>
      <c r="L529" s="2"/>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2"/>
      <c r="J530" s="2"/>
      <c r="K530" s="3"/>
      <c r="L530" s="2"/>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2"/>
      <c r="J531" s="2"/>
      <c r="K531" s="3"/>
      <c r="L531" s="2"/>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2"/>
      <c r="J532" s="2"/>
      <c r="K532" s="3"/>
      <c r="L532" s="2"/>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2"/>
      <c r="J533" s="2"/>
      <c r="K533" s="3"/>
      <c r="L533" s="2"/>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2"/>
      <c r="J534" s="2"/>
      <c r="K534" s="3"/>
      <c r="L534" s="2"/>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2"/>
      <c r="J535" s="2"/>
      <c r="K535" s="3"/>
      <c r="L535" s="2"/>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2"/>
      <c r="J536" s="2"/>
      <c r="K536" s="3"/>
      <c r="L536" s="2"/>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2"/>
      <c r="J537" s="2"/>
      <c r="K537" s="3"/>
      <c r="L537" s="2"/>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2"/>
      <c r="J538" s="2"/>
      <c r="K538" s="3"/>
      <c r="L538" s="2"/>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2"/>
      <c r="J539" s="2"/>
      <c r="K539" s="3"/>
      <c r="L539" s="2"/>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2"/>
      <c r="J540" s="2"/>
      <c r="K540" s="3"/>
      <c r="L540" s="2"/>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2"/>
      <c r="J541" s="2"/>
      <c r="K541" s="3"/>
      <c r="L541" s="2"/>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2"/>
      <c r="J542" s="2"/>
      <c r="K542" s="3"/>
      <c r="L542" s="2"/>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2"/>
      <c r="J543" s="2"/>
      <c r="K543" s="3"/>
      <c r="L543" s="2"/>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2"/>
      <c r="J544" s="2"/>
      <c r="K544" s="3"/>
      <c r="L544" s="2"/>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2"/>
      <c r="J545" s="2"/>
      <c r="K545" s="3"/>
      <c r="L545" s="2"/>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2"/>
      <c r="J546" s="2"/>
      <c r="K546" s="3"/>
      <c r="L546" s="2"/>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2"/>
      <c r="J547" s="2"/>
      <c r="K547" s="3"/>
      <c r="L547" s="2"/>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2"/>
      <c r="J548" s="2"/>
      <c r="K548" s="3"/>
      <c r="L548" s="2"/>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2"/>
      <c r="J549" s="2"/>
      <c r="K549" s="3"/>
      <c r="L549" s="2"/>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2"/>
      <c r="J550" s="2"/>
      <c r="K550" s="3"/>
      <c r="L550" s="2"/>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2"/>
      <c r="J551" s="2"/>
      <c r="K551" s="3"/>
      <c r="L551" s="2"/>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2"/>
      <c r="J552" s="2"/>
      <c r="K552" s="3"/>
      <c r="L552" s="2"/>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2"/>
      <c r="J553" s="2"/>
      <c r="K553" s="3"/>
      <c r="L553" s="2"/>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2"/>
      <c r="J554" s="2"/>
      <c r="K554" s="3"/>
      <c r="L554" s="2"/>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2"/>
      <c r="J555" s="2"/>
      <c r="K555" s="3"/>
      <c r="L555" s="2"/>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2"/>
      <c r="J556" s="2"/>
      <c r="K556" s="3"/>
      <c r="L556" s="2"/>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2"/>
      <c r="J557" s="2"/>
      <c r="K557" s="3"/>
      <c r="L557" s="2"/>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2"/>
      <c r="J558" s="2"/>
      <c r="K558" s="3"/>
      <c r="L558" s="2"/>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2"/>
      <c r="J559" s="2"/>
      <c r="K559" s="3"/>
      <c r="L559" s="2"/>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2"/>
      <c r="J560" s="2"/>
      <c r="K560" s="3"/>
      <c r="L560" s="2"/>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2"/>
      <c r="J561" s="2"/>
      <c r="K561" s="3"/>
      <c r="L561" s="2"/>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2"/>
      <c r="J562" s="2"/>
      <c r="K562" s="3"/>
      <c r="L562" s="2"/>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2"/>
      <c r="J563" s="2"/>
      <c r="K563" s="3"/>
      <c r="L563" s="2"/>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2"/>
      <c r="J564" s="2"/>
      <c r="K564" s="3"/>
      <c r="L564" s="2"/>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2"/>
      <c r="J565" s="2"/>
      <c r="K565" s="3"/>
      <c r="L565" s="2"/>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2"/>
      <c r="J566" s="2"/>
      <c r="K566" s="3"/>
      <c r="L566" s="2"/>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2"/>
      <c r="J567" s="2"/>
      <c r="K567" s="3"/>
      <c r="L567" s="2"/>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2"/>
      <c r="J568" s="2"/>
      <c r="K568" s="3"/>
      <c r="L568" s="2"/>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2"/>
      <c r="J569" s="2"/>
      <c r="K569" s="3"/>
      <c r="L569" s="2"/>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2"/>
      <c r="J570" s="2"/>
      <c r="K570" s="3"/>
      <c r="L570" s="2"/>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2"/>
      <c r="J571" s="2"/>
      <c r="K571" s="3"/>
      <c r="L571" s="2"/>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2"/>
      <c r="J572" s="2"/>
      <c r="K572" s="3"/>
      <c r="L572" s="2"/>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2"/>
      <c r="J573" s="2"/>
      <c r="K573" s="3"/>
      <c r="L573" s="2"/>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2"/>
      <c r="J574" s="2"/>
      <c r="K574" s="3"/>
      <c r="L574" s="2"/>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2"/>
      <c r="J575" s="2"/>
      <c r="K575" s="3"/>
      <c r="L575" s="2"/>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2"/>
      <c r="J576" s="2"/>
      <c r="K576" s="3"/>
      <c r="L576" s="2"/>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2"/>
      <c r="J577" s="2"/>
      <c r="K577" s="3"/>
      <c r="L577" s="2"/>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2"/>
      <c r="J578" s="2"/>
      <c r="K578" s="3"/>
      <c r="L578" s="2"/>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2"/>
      <c r="J579" s="2"/>
      <c r="K579" s="3"/>
      <c r="L579" s="2"/>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2"/>
      <c r="J580" s="2"/>
      <c r="K580" s="3"/>
      <c r="L580" s="2"/>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2"/>
      <c r="J581" s="2"/>
      <c r="K581" s="3"/>
      <c r="L581" s="2"/>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2"/>
      <c r="J582" s="2"/>
      <c r="K582" s="3"/>
      <c r="L582" s="2"/>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2"/>
      <c r="J583" s="2"/>
      <c r="K583" s="3"/>
      <c r="L583" s="2"/>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2"/>
      <c r="J584" s="2"/>
      <c r="K584" s="3"/>
      <c r="L584" s="2"/>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2"/>
      <c r="J585" s="2"/>
      <c r="K585" s="3"/>
      <c r="L585" s="2"/>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2"/>
      <c r="J586" s="2"/>
      <c r="K586" s="3"/>
      <c r="L586" s="2"/>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2"/>
      <c r="J587" s="2"/>
      <c r="K587" s="3"/>
      <c r="L587" s="2"/>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2"/>
      <c r="J588" s="2"/>
      <c r="K588" s="3"/>
      <c r="L588" s="2"/>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2"/>
      <c r="J589" s="2"/>
      <c r="K589" s="3"/>
      <c r="L589" s="2"/>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2"/>
      <c r="J590" s="2"/>
      <c r="K590" s="3"/>
      <c r="L590" s="2"/>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2"/>
      <c r="J591" s="2"/>
      <c r="K591" s="3"/>
      <c r="L591" s="2"/>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2"/>
      <c r="J592" s="2"/>
      <c r="K592" s="3"/>
      <c r="L592" s="2"/>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2"/>
      <c r="J593" s="2"/>
      <c r="K593" s="3"/>
      <c r="L593" s="2"/>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2"/>
      <c r="J594" s="2"/>
      <c r="K594" s="3"/>
      <c r="L594" s="2"/>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2"/>
      <c r="J595" s="2"/>
      <c r="K595" s="3"/>
      <c r="L595" s="2"/>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2"/>
      <c r="J596" s="2"/>
      <c r="K596" s="3"/>
      <c r="L596" s="2"/>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2"/>
      <c r="J597" s="2"/>
      <c r="K597" s="3"/>
      <c r="L597" s="2"/>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2"/>
      <c r="J598" s="2"/>
      <c r="K598" s="3"/>
      <c r="L598" s="2"/>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2"/>
      <c r="J599" s="2"/>
      <c r="K599" s="3"/>
      <c r="L599" s="2"/>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2"/>
      <c r="J600" s="2"/>
      <c r="K600" s="3"/>
      <c r="L600" s="2"/>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2"/>
      <c r="J601" s="2"/>
      <c r="K601" s="3"/>
      <c r="L601" s="2"/>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2"/>
      <c r="J602" s="2"/>
      <c r="K602" s="3"/>
      <c r="L602" s="2"/>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2"/>
      <c r="J603" s="2"/>
      <c r="K603" s="3"/>
      <c r="L603" s="2"/>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2"/>
      <c r="J604" s="2"/>
      <c r="K604" s="3"/>
      <c r="L604" s="2"/>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2"/>
      <c r="J605" s="2"/>
      <c r="K605" s="3"/>
      <c r="L605" s="2"/>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2"/>
      <c r="J606" s="2"/>
      <c r="K606" s="3"/>
      <c r="L606" s="2"/>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2"/>
      <c r="J607" s="2"/>
      <c r="K607" s="3"/>
      <c r="L607" s="2"/>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2"/>
      <c r="J608" s="2"/>
      <c r="K608" s="3"/>
      <c r="L608" s="2"/>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2"/>
      <c r="J609" s="2"/>
      <c r="K609" s="3"/>
      <c r="L609" s="2"/>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2"/>
      <c r="J610" s="2"/>
      <c r="K610" s="3"/>
      <c r="L610" s="2"/>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2"/>
      <c r="J611" s="2"/>
      <c r="K611" s="3"/>
      <c r="L611" s="2"/>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2"/>
      <c r="J612" s="2"/>
      <c r="K612" s="3"/>
      <c r="L612" s="2"/>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2"/>
      <c r="J613" s="2"/>
      <c r="K613" s="3"/>
      <c r="L613" s="2"/>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2"/>
      <c r="J614" s="2"/>
      <c r="K614" s="3"/>
      <c r="L614" s="2"/>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2"/>
      <c r="J615" s="2"/>
      <c r="K615" s="3"/>
      <c r="L615" s="2"/>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2"/>
      <c r="J616" s="2"/>
      <c r="K616" s="3"/>
      <c r="L616" s="2"/>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2"/>
      <c r="J617" s="2"/>
      <c r="K617" s="3"/>
      <c r="L617" s="2"/>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2"/>
      <c r="J618" s="2"/>
      <c r="K618" s="3"/>
      <c r="L618" s="2"/>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2"/>
      <c r="J619" s="2"/>
      <c r="K619" s="3"/>
      <c r="L619" s="2"/>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2"/>
      <c r="J620" s="2"/>
      <c r="K620" s="3"/>
      <c r="L620" s="2"/>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2"/>
      <c r="J621" s="2"/>
      <c r="K621" s="3"/>
      <c r="L621" s="2"/>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2"/>
      <c r="J622" s="2"/>
      <c r="K622" s="3"/>
      <c r="L622" s="2"/>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2"/>
      <c r="J623" s="2"/>
      <c r="K623" s="3"/>
      <c r="L623" s="2"/>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2"/>
      <c r="J624" s="2"/>
      <c r="K624" s="3"/>
      <c r="L624" s="2"/>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2"/>
      <c r="J625" s="2"/>
      <c r="K625" s="3"/>
      <c r="L625" s="2"/>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2"/>
      <c r="J626" s="2"/>
      <c r="K626" s="3"/>
      <c r="L626" s="2"/>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2"/>
      <c r="J627" s="2"/>
      <c r="K627" s="3"/>
      <c r="L627" s="2"/>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2"/>
      <c r="J628" s="2"/>
      <c r="K628" s="3"/>
      <c r="L628" s="2"/>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2"/>
      <c r="J629" s="2"/>
      <c r="K629" s="3"/>
      <c r="L629" s="2"/>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2"/>
      <c r="J630" s="2"/>
      <c r="K630" s="3"/>
      <c r="L630" s="2"/>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2"/>
      <c r="J631" s="2"/>
      <c r="K631" s="3"/>
      <c r="L631" s="2"/>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2"/>
      <c r="J632" s="2"/>
      <c r="K632" s="3"/>
      <c r="L632" s="2"/>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2"/>
      <c r="J633" s="2"/>
      <c r="K633" s="3"/>
      <c r="L633" s="2"/>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2"/>
      <c r="J634" s="2"/>
      <c r="K634" s="3"/>
      <c r="L634" s="2"/>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2"/>
      <c r="J635" s="2"/>
      <c r="K635" s="3"/>
      <c r="L635" s="2"/>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2"/>
      <c r="J636" s="2"/>
      <c r="K636" s="3"/>
      <c r="L636" s="2"/>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2"/>
      <c r="J637" s="2"/>
      <c r="K637" s="3"/>
      <c r="L637" s="2"/>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2"/>
      <c r="J638" s="2"/>
      <c r="K638" s="3"/>
      <c r="L638" s="2"/>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2"/>
      <c r="J639" s="2"/>
      <c r="K639" s="3"/>
      <c r="L639" s="2"/>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2"/>
      <c r="J640" s="2"/>
      <c r="K640" s="3"/>
      <c r="L640" s="2"/>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2"/>
      <c r="J641" s="2"/>
      <c r="K641" s="3"/>
      <c r="L641" s="2"/>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2"/>
      <c r="J642" s="2"/>
      <c r="K642" s="3"/>
      <c r="L642" s="2"/>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2"/>
      <c r="J643" s="2"/>
      <c r="K643" s="3"/>
      <c r="L643" s="2"/>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2"/>
      <c r="J644" s="2"/>
      <c r="K644" s="3"/>
      <c r="L644" s="2"/>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2"/>
      <c r="J645" s="2"/>
      <c r="K645" s="3"/>
      <c r="L645" s="2"/>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2"/>
      <c r="J646" s="2"/>
      <c r="K646" s="3"/>
      <c r="L646" s="2"/>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2"/>
      <c r="J647" s="2"/>
      <c r="K647" s="3"/>
      <c r="L647" s="2"/>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2"/>
      <c r="J648" s="2"/>
      <c r="K648" s="3"/>
      <c r="L648" s="2"/>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2"/>
      <c r="J649" s="2"/>
      <c r="K649" s="3"/>
      <c r="L649" s="2"/>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2"/>
      <c r="J650" s="2"/>
      <c r="K650" s="3"/>
      <c r="L650" s="2"/>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2"/>
      <c r="J651" s="2"/>
      <c r="K651" s="3"/>
      <c r="L651" s="2"/>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2"/>
      <c r="J652" s="2"/>
      <c r="K652" s="3"/>
      <c r="L652" s="2"/>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2"/>
      <c r="J653" s="2"/>
      <c r="K653" s="3"/>
      <c r="L653" s="2"/>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2"/>
      <c r="J654" s="2"/>
      <c r="K654" s="3"/>
      <c r="L654" s="2"/>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2"/>
      <c r="J655" s="2"/>
      <c r="K655" s="3"/>
      <c r="L655" s="2"/>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2"/>
      <c r="J656" s="2"/>
      <c r="K656" s="3"/>
      <c r="L656" s="2"/>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2"/>
      <c r="J657" s="2"/>
      <c r="K657" s="3"/>
      <c r="L657" s="2"/>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2"/>
      <c r="J658" s="2"/>
      <c r="K658" s="3"/>
      <c r="L658" s="2"/>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2"/>
      <c r="J659" s="2"/>
      <c r="K659" s="3"/>
      <c r="L659" s="2"/>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2"/>
      <c r="J660" s="2"/>
      <c r="K660" s="3"/>
      <c r="L660" s="2"/>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2"/>
      <c r="J661" s="2"/>
      <c r="K661" s="3"/>
      <c r="L661" s="2"/>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2"/>
      <c r="J662" s="2"/>
      <c r="K662" s="3"/>
      <c r="L662" s="2"/>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2"/>
      <c r="J663" s="2"/>
      <c r="K663" s="3"/>
      <c r="L663" s="2"/>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2"/>
      <c r="J664" s="2"/>
      <c r="K664" s="3"/>
      <c r="L664" s="2"/>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2"/>
      <c r="J665" s="2"/>
      <c r="K665" s="3"/>
      <c r="L665" s="2"/>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2"/>
      <c r="J666" s="2"/>
      <c r="K666" s="3"/>
      <c r="L666" s="2"/>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2"/>
      <c r="J667" s="2"/>
      <c r="K667" s="3"/>
      <c r="L667" s="2"/>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2"/>
      <c r="J668" s="2"/>
      <c r="K668" s="3"/>
      <c r="L668" s="2"/>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2"/>
      <c r="J669" s="2"/>
      <c r="K669" s="3"/>
      <c r="L669" s="2"/>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2"/>
      <c r="J670" s="2"/>
      <c r="K670" s="3"/>
      <c r="L670" s="2"/>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2"/>
      <c r="J671" s="2"/>
      <c r="K671" s="3"/>
      <c r="L671" s="2"/>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2"/>
      <c r="J672" s="2"/>
      <c r="K672" s="3"/>
      <c r="L672" s="2"/>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2"/>
      <c r="J673" s="2"/>
      <c r="K673" s="3"/>
      <c r="L673" s="2"/>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2"/>
      <c r="J674" s="2"/>
      <c r="K674" s="3"/>
      <c r="L674" s="2"/>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2"/>
      <c r="J675" s="2"/>
      <c r="K675" s="3"/>
      <c r="L675" s="2"/>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2"/>
      <c r="J676" s="2"/>
      <c r="K676" s="3"/>
      <c r="L676" s="2"/>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2"/>
      <c r="J677" s="2"/>
      <c r="K677" s="3"/>
      <c r="L677" s="2"/>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2"/>
      <c r="J678" s="2"/>
      <c r="K678" s="3"/>
      <c r="L678" s="2"/>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2"/>
      <c r="J679" s="2"/>
      <c r="K679" s="3"/>
      <c r="L679" s="2"/>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2"/>
      <c r="J680" s="2"/>
      <c r="K680" s="3"/>
      <c r="L680" s="2"/>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2"/>
      <c r="J681" s="2"/>
      <c r="K681" s="3"/>
      <c r="L681" s="2"/>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2"/>
      <c r="J682" s="2"/>
      <c r="K682" s="3"/>
      <c r="L682" s="2"/>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2"/>
      <c r="J683" s="2"/>
      <c r="K683" s="3"/>
      <c r="L683" s="2"/>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2"/>
      <c r="J684" s="2"/>
      <c r="K684" s="3"/>
      <c r="L684" s="2"/>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2"/>
      <c r="J685" s="2"/>
      <c r="K685" s="3"/>
      <c r="L685" s="2"/>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2"/>
      <c r="J686" s="2"/>
      <c r="K686" s="3"/>
      <c r="L686" s="2"/>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2"/>
      <c r="J687" s="2"/>
      <c r="K687" s="3"/>
      <c r="L687" s="2"/>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2"/>
      <c r="J688" s="2"/>
      <c r="K688" s="3"/>
      <c r="L688" s="2"/>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2"/>
      <c r="J689" s="2"/>
      <c r="K689" s="3"/>
      <c r="L689" s="2"/>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2"/>
      <c r="J690" s="2"/>
      <c r="K690" s="3"/>
      <c r="L690" s="2"/>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2"/>
      <c r="J691" s="2"/>
      <c r="K691" s="3"/>
      <c r="L691" s="2"/>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2"/>
      <c r="J692" s="2"/>
      <c r="K692" s="3"/>
      <c r="L692" s="2"/>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2"/>
      <c r="J693" s="2"/>
      <c r="K693" s="3"/>
      <c r="L693" s="2"/>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2"/>
      <c r="J694" s="2"/>
      <c r="K694" s="3"/>
      <c r="L694" s="2"/>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2"/>
      <c r="J695" s="2"/>
      <c r="K695" s="3"/>
      <c r="L695" s="2"/>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2"/>
      <c r="J696" s="2"/>
      <c r="K696" s="3"/>
      <c r="L696" s="2"/>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2"/>
      <c r="J697" s="2"/>
      <c r="K697" s="3"/>
      <c r="L697" s="2"/>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2"/>
      <c r="J698" s="2"/>
      <c r="K698" s="3"/>
      <c r="L698" s="2"/>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2"/>
      <c r="J699" s="2"/>
      <c r="K699" s="3"/>
      <c r="L699" s="2"/>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2"/>
      <c r="J700" s="2"/>
      <c r="K700" s="3"/>
      <c r="L700" s="2"/>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2"/>
      <c r="J701" s="2"/>
      <c r="K701" s="3"/>
      <c r="L701" s="2"/>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2"/>
      <c r="J702" s="2"/>
      <c r="K702" s="3"/>
      <c r="L702" s="2"/>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2"/>
      <c r="J703" s="2"/>
      <c r="K703" s="3"/>
      <c r="L703" s="2"/>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2"/>
      <c r="J704" s="2"/>
      <c r="K704" s="3"/>
      <c r="L704" s="2"/>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2"/>
      <c r="J705" s="2"/>
      <c r="K705" s="3"/>
      <c r="L705" s="2"/>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2"/>
      <c r="J706" s="2"/>
      <c r="K706" s="3"/>
      <c r="L706" s="2"/>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2"/>
      <c r="J707" s="2"/>
      <c r="K707" s="3"/>
      <c r="L707" s="2"/>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2"/>
      <c r="J708" s="2"/>
      <c r="K708" s="3"/>
      <c r="L708" s="2"/>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2"/>
      <c r="J709" s="2"/>
      <c r="K709" s="3"/>
      <c r="L709" s="2"/>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2"/>
      <c r="J710" s="2"/>
      <c r="K710" s="3"/>
      <c r="L710" s="2"/>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2"/>
      <c r="J711" s="2"/>
      <c r="K711" s="3"/>
      <c r="L711" s="2"/>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2"/>
      <c r="J712" s="2"/>
      <c r="K712" s="3"/>
      <c r="L712" s="2"/>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2"/>
      <c r="J713" s="2"/>
      <c r="K713" s="3"/>
      <c r="L713" s="2"/>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2"/>
      <c r="J714" s="2"/>
      <c r="K714" s="3"/>
      <c r="L714" s="2"/>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2"/>
      <c r="J715" s="2"/>
      <c r="K715" s="3"/>
      <c r="L715" s="2"/>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2"/>
      <c r="J716" s="2"/>
      <c r="K716" s="3"/>
      <c r="L716" s="2"/>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2"/>
      <c r="J717" s="2"/>
      <c r="K717" s="3"/>
      <c r="L717" s="2"/>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2"/>
      <c r="J718" s="2"/>
      <c r="K718" s="3"/>
      <c r="L718" s="2"/>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2"/>
      <c r="J719" s="2"/>
      <c r="K719" s="3"/>
      <c r="L719" s="2"/>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2"/>
      <c r="J720" s="2"/>
      <c r="K720" s="3"/>
      <c r="L720" s="2"/>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2"/>
      <c r="J721" s="2"/>
      <c r="K721" s="3"/>
      <c r="L721" s="2"/>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2"/>
      <c r="J722" s="2"/>
      <c r="K722" s="3"/>
      <c r="L722" s="2"/>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2"/>
      <c r="J723" s="2"/>
      <c r="K723" s="3"/>
      <c r="L723" s="2"/>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2"/>
      <c r="J724" s="2"/>
      <c r="K724" s="3"/>
      <c r="L724" s="2"/>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2"/>
      <c r="J725" s="2"/>
      <c r="K725" s="3"/>
      <c r="L725" s="2"/>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2"/>
      <c r="J726" s="2"/>
      <c r="K726" s="3"/>
      <c r="L726" s="2"/>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2"/>
      <c r="J727" s="2"/>
      <c r="K727" s="3"/>
      <c r="L727" s="2"/>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2"/>
      <c r="J728" s="2"/>
      <c r="K728" s="3"/>
      <c r="L728" s="2"/>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2"/>
      <c r="J729" s="2"/>
      <c r="K729" s="3"/>
      <c r="L729" s="2"/>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2"/>
      <c r="J730" s="2"/>
      <c r="K730" s="3"/>
      <c r="L730" s="2"/>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2"/>
      <c r="J731" s="2"/>
      <c r="K731" s="3"/>
      <c r="L731" s="2"/>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2"/>
      <c r="J732" s="2"/>
      <c r="K732" s="3"/>
      <c r="L732" s="2"/>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2"/>
      <c r="J733" s="2"/>
      <c r="K733" s="3"/>
      <c r="L733" s="2"/>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2"/>
      <c r="J734" s="2"/>
      <c r="K734" s="3"/>
      <c r="L734" s="2"/>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2"/>
      <c r="J735" s="2"/>
      <c r="K735" s="3"/>
      <c r="L735" s="2"/>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2"/>
      <c r="J736" s="2"/>
      <c r="K736" s="3"/>
      <c r="L736" s="2"/>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2"/>
      <c r="J737" s="2"/>
      <c r="K737" s="3"/>
      <c r="L737" s="2"/>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2"/>
      <c r="J738" s="2"/>
      <c r="K738" s="3"/>
      <c r="L738" s="2"/>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2"/>
      <c r="J739" s="2"/>
      <c r="K739" s="3"/>
      <c r="L739" s="2"/>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2"/>
      <c r="J740" s="2"/>
      <c r="K740" s="3"/>
      <c r="L740" s="2"/>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2"/>
      <c r="J741" s="2"/>
      <c r="K741" s="3"/>
      <c r="L741" s="2"/>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2"/>
      <c r="J742" s="2"/>
      <c r="K742" s="3"/>
      <c r="L742" s="2"/>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2"/>
      <c r="J743" s="2"/>
      <c r="K743" s="3"/>
      <c r="L743" s="2"/>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2"/>
      <c r="J744" s="2"/>
      <c r="K744" s="3"/>
      <c r="L744" s="2"/>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2"/>
      <c r="J745" s="2"/>
      <c r="K745" s="3"/>
      <c r="L745" s="2"/>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2"/>
      <c r="J746" s="2"/>
      <c r="K746" s="3"/>
      <c r="L746" s="2"/>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2"/>
      <c r="J747" s="2"/>
      <c r="K747" s="3"/>
      <c r="L747" s="2"/>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2"/>
      <c r="J748" s="2"/>
      <c r="K748" s="3"/>
      <c r="L748" s="2"/>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2"/>
      <c r="J749" s="2"/>
      <c r="K749" s="3"/>
      <c r="L749" s="2"/>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2"/>
      <c r="J750" s="2"/>
      <c r="K750" s="3"/>
      <c r="L750" s="2"/>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2"/>
      <c r="J751" s="2"/>
      <c r="K751" s="3"/>
      <c r="L751" s="2"/>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2"/>
      <c r="J752" s="2"/>
      <c r="K752" s="3"/>
      <c r="L752" s="2"/>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2"/>
      <c r="J753" s="2"/>
      <c r="K753" s="3"/>
      <c r="L753" s="2"/>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2"/>
      <c r="J754" s="2"/>
      <c r="K754" s="3"/>
      <c r="L754" s="2"/>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2"/>
      <c r="J755" s="2"/>
      <c r="K755" s="3"/>
      <c r="L755" s="2"/>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2"/>
      <c r="J756" s="2"/>
      <c r="K756" s="3"/>
      <c r="L756" s="2"/>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2"/>
      <c r="J757" s="2"/>
      <c r="K757" s="3"/>
      <c r="L757" s="2"/>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2"/>
      <c r="J758" s="2"/>
      <c r="K758" s="3"/>
      <c r="L758" s="2"/>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2"/>
      <c r="J759" s="2"/>
      <c r="K759" s="3"/>
      <c r="L759" s="2"/>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2"/>
      <c r="J760" s="2"/>
      <c r="K760" s="3"/>
      <c r="L760" s="2"/>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2"/>
      <c r="J761" s="2"/>
      <c r="K761" s="3"/>
      <c r="L761" s="2"/>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2"/>
      <c r="J762" s="2"/>
      <c r="K762" s="3"/>
      <c r="L762" s="2"/>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2"/>
      <c r="J763" s="2"/>
      <c r="K763" s="3"/>
      <c r="L763" s="2"/>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2"/>
      <c r="J764" s="2"/>
      <c r="K764" s="3"/>
      <c r="L764" s="2"/>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2"/>
      <c r="J765" s="2"/>
      <c r="K765" s="3"/>
      <c r="L765" s="2"/>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2"/>
      <c r="J766" s="2"/>
      <c r="K766" s="3"/>
      <c r="L766" s="2"/>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2"/>
      <c r="J767" s="2"/>
      <c r="K767" s="3"/>
      <c r="L767" s="2"/>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2"/>
      <c r="J768" s="2"/>
      <c r="K768" s="3"/>
      <c r="L768" s="2"/>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2"/>
      <c r="J769" s="2"/>
      <c r="K769" s="3"/>
      <c r="L769" s="2"/>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2"/>
      <c r="J770" s="2"/>
      <c r="K770" s="3"/>
      <c r="L770" s="2"/>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2"/>
      <c r="J771" s="2"/>
      <c r="K771" s="3"/>
      <c r="L771" s="2"/>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2"/>
      <c r="J772" s="2"/>
      <c r="K772" s="3"/>
      <c r="L772" s="2"/>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2"/>
      <c r="J773" s="2"/>
      <c r="K773" s="3"/>
      <c r="L773" s="2"/>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2"/>
      <c r="J774" s="2"/>
      <c r="K774" s="3"/>
      <c r="L774" s="2"/>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2"/>
      <c r="J775" s="2"/>
      <c r="K775" s="3"/>
      <c r="L775" s="2"/>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2"/>
      <c r="J776" s="2"/>
      <c r="K776" s="3"/>
      <c r="L776" s="2"/>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2"/>
      <c r="J777" s="2"/>
      <c r="K777" s="3"/>
      <c r="L777" s="2"/>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2"/>
      <c r="J778" s="2"/>
      <c r="K778" s="3"/>
      <c r="L778" s="2"/>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2"/>
      <c r="J779" s="2"/>
      <c r="K779" s="3"/>
      <c r="L779" s="2"/>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2"/>
      <c r="J780" s="2"/>
      <c r="K780" s="3"/>
      <c r="L780" s="2"/>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2"/>
      <c r="J781" s="2"/>
      <c r="K781" s="3"/>
      <c r="L781" s="2"/>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2"/>
      <c r="J782" s="2"/>
      <c r="K782" s="3"/>
      <c r="L782" s="2"/>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2"/>
      <c r="J783" s="2"/>
      <c r="K783" s="3"/>
      <c r="L783" s="2"/>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2"/>
      <c r="J784" s="2"/>
      <c r="K784" s="3"/>
      <c r="L784" s="2"/>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2"/>
      <c r="J785" s="2"/>
      <c r="K785" s="3"/>
      <c r="L785" s="2"/>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2"/>
      <c r="J786" s="2"/>
      <c r="K786" s="3"/>
      <c r="L786" s="2"/>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2"/>
      <c r="J787" s="2"/>
      <c r="K787" s="3"/>
      <c r="L787" s="2"/>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2"/>
      <c r="J788" s="2"/>
      <c r="K788" s="3"/>
      <c r="L788" s="2"/>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2"/>
      <c r="J789" s="2"/>
      <c r="K789" s="3"/>
      <c r="L789" s="2"/>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2"/>
      <c r="J790" s="2"/>
      <c r="K790" s="3"/>
      <c r="L790" s="2"/>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2"/>
      <c r="J791" s="2"/>
      <c r="K791" s="3"/>
      <c r="L791" s="2"/>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2"/>
      <c r="J792" s="2"/>
      <c r="K792" s="3"/>
      <c r="L792" s="2"/>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2"/>
      <c r="J793" s="2"/>
      <c r="K793" s="3"/>
      <c r="L793" s="2"/>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2"/>
      <c r="J794" s="2"/>
      <c r="K794" s="3"/>
      <c r="L794" s="2"/>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2"/>
      <c r="J795" s="2"/>
      <c r="K795" s="3"/>
      <c r="L795" s="2"/>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2"/>
      <c r="J796" s="2"/>
      <c r="K796" s="3"/>
      <c r="L796" s="2"/>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2"/>
      <c r="J797" s="2"/>
      <c r="K797" s="3"/>
      <c r="L797" s="2"/>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2"/>
      <c r="J798" s="2"/>
      <c r="K798" s="3"/>
      <c r="L798" s="2"/>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2"/>
      <c r="J799" s="2"/>
      <c r="K799" s="3"/>
      <c r="L799" s="2"/>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2"/>
      <c r="J800" s="2"/>
      <c r="K800" s="3"/>
      <c r="L800" s="2"/>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2"/>
      <c r="J801" s="2"/>
      <c r="K801" s="3"/>
      <c r="L801" s="2"/>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2"/>
      <c r="J802" s="2"/>
      <c r="K802" s="3"/>
      <c r="L802" s="2"/>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2"/>
      <c r="J803" s="2"/>
      <c r="K803" s="3"/>
      <c r="L803" s="2"/>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2"/>
      <c r="J804" s="2"/>
      <c r="K804" s="3"/>
      <c r="L804" s="2"/>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2"/>
      <c r="J805" s="2"/>
      <c r="K805" s="3"/>
      <c r="L805" s="2"/>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2"/>
      <c r="J806" s="2"/>
      <c r="K806" s="3"/>
      <c r="L806" s="2"/>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2"/>
      <c r="J807" s="2"/>
      <c r="K807" s="3"/>
      <c r="L807" s="2"/>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2"/>
      <c r="J808" s="2"/>
      <c r="K808" s="3"/>
      <c r="L808" s="2"/>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2"/>
      <c r="J809" s="2"/>
      <c r="K809" s="3"/>
      <c r="L809" s="2"/>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2"/>
      <c r="J810" s="2"/>
      <c r="K810" s="3"/>
      <c r="L810" s="2"/>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2"/>
      <c r="J811" s="2"/>
      <c r="K811" s="3"/>
      <c r="L811" s="2"/>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2"/>
      <c r="J812" s="2"/>
      <c r="K812" s="3"/>
      <c r="L812" s="2"/>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2"/>
      <c r="J813" s="2"/>
      <c r="K813" s="3"/>
      <c r="L813" s="2"/>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2"/>
      <c r="J814" s="2"/>
      <c r="K814" s="3"/>
      <c r="L814" s="2"/>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2"/>
      <c r="J815" s="2"/>
      <c r="K815" s="3"/>
      <c r="L815" s="2"/>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2"/>
      <c r="J816" s="2"/>
      <c r="K816" s="3"/>
      <c r="L816" s="2"/>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2"/>
      <c r="J817" s="2"/>
      <c r="K817" s="3"/>
      <c r="L817" s="2"/>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2"/>
      <c r="J818" s="2"/>
      <c r="K818" s="3"/>
      <c r="L818" s="2"/>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2"/>
      <c r="J819" s="2"/>
      <c r="K819" s="3"/>
      <c r="L819" s="2"/>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2"/>
      <c r="J820" s="2"/>
      <c r="K820" s="3"/>
      <c r="L820" s="2"/>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2"/>
      <c r="J821" s="2"/>
      <c r="K821" s="3"/>
      <c r="L821" s="2"/>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2"/>
      <c r="J822" s="2"/>
      <c r="K822" s="3"/>
      <c r="L822" s="2"/>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2"/>
      <c r="J823" s="2"/>
      <c r="K823" s="3"/>
      <c r="L823" s="2"/>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2"/>
      <c r="J824" s="2"/>
      <c r="K824" s="3"/>
      <c r="L824" s="2"/>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2"/>
      <c r="J825" s="2"/>
      <c r="K825" s="3"/>
      <c r="L825" s="2"/>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2"/>
      <c r="J826" s="2"/>
      <c r="K826" s="3"/>
      <c r="L826" s="2"/>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2"/>
      <c r="J827" s="2"/>
      <c r="K827" s="3"/>
      <c r="L827" s="2"/>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2"/>
      <c r="J828" s="2"/>
      <c r="K828" s="3"/>
      <c r="L828" s="2"/>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2"/>
      <c r="J829" s="2"/>
      <c r="K829" s="3"/>
      <c r="L829" s="2"/>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2"/>
      <c r="J830" s="2"/>
      <c r="K830" s="3"/>
      <c r="L830" s="2"/>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2"/>
      <c r="J831" s="2"/>
      <c r="K831" s="3"/>
      <c r="L831" s="2"/>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2"/>
      <c r="J832" s="2"/>
      <c r="K832" s="3"/>
      <c r="L832" s="2"/>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2"/>
      <c r="J833" s="2"/>
      <c r="K833" s="3"/>
      <c r="L833" s="2"/>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2"/>
      <c r="J834" s="2"/>
      <c r="K834" s="3"/>
      <c r="L834" s="2"/>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2"/>
      <c r="J835" s="2"/>
      <c r="K835" s="3"/>
      <c r="L835" s="2"/>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2"/>
      <c r="J836" s="2"/>
      <c r="K836" s="3"/>
      <c r="L836" s="2"/>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2"/>
      <c r="J837" s="2"/>
      <c r="K837" s="3"/>
      <c r="L837" s="2"/>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2"/>
      <c r="J838" s="2"/>
      <c r="K838" s="3"/>
      <c r="L838" s="2"/>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2"/>
      <c r="J839" s="2"/>
      <c r="K839" s="3"/>
      <c r="L839" s="2"/>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2"/>
      <c r="J840" s="2"/>
      <c r="K840" s="3"/>
      <c r="L840" s="2"/>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2"/>
      <c r="J841" s="2"/>
      <c r="K841" s="3"/>
      <c r="L841" s="2"/>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2"/>
      <c r="J842" s="2"/>
      <c r="K842" s="3"/>
      <c r="L842" s="2"/>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2"/>
      <c r="J843" s="2"/>
      <c r="K843" s="3"/>
      <c r="L843" s="2"/>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2"/>
      <c r="J844" s="2"/>
      <c r="K844" s="3"/>
      <c r="L844" s="2"/>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2"/>
      <c r="J845" s="2"/>
      <c r="K845" s="3"/>
      <c r="L845" s="2"/>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2"/>
      <c r="J846" s="2"/>
      <c r="K846" s="3"/>
      <c r="L846" s="2"/>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2"/>
      <c r="J847" s="2"/>
      <c r="K847" s="3"/>
      <c r="L847" s="2"/>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2"/>
      <c r="J848" s="2"/>
      <c r="K848" s="3"/>
      <c r="L848" s="2"/>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2"/>
      <c r="J849" s="2"/>
      <c r="K849" s="3"/>
      <c r="L849" s="2"/>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2"/>
      <c r="J850" s="2"/>
      <c r="K850" s="3"/>
      <c r="L850" s="2"/>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2"/>
      <c r="J851" s="2"/>
      <c r="K851" s="3"/>
      <c r="L851" s="2"/>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2"/>
      <c r="J852" s="2"/>
      <c r="K852" s="3"/>
      <c r="L852" s="2"/>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2"/>
      <c r="J853" s="2"/>
      <c r="K853" s="3"/>
      <c r="L853" s="2"/>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2"/>
      <c r="J854" s="2"/>
      <c r="K854" s="3"/>
      <c r="L854" s="2"/>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2"/>
      <c r="J855" s="2"/>
      <c r="K855" s="3"/>
      <c r="L855" s="2"/>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2"/>
      <c r="J856" s="2"/>
      <c r="K856" s="3"/>
      <c r="L856" s="2"/>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2"/>
      <c r="J857" s="2"/>
      <c r="K857" s="3"/>
      <c r="L857" s="2"/>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2"/>
      <c r="J858" s="2"/>
      <c r="K858" s="3"/>
      <c r="L858" s="2"/>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2"/>
      <c r="J859" s="2"/>
      <c r="K859" s="3"/>
      <c r="L859" s="2"/>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2"/>
      <c r="J860" s="2"/>
      <c r="K860" s="3"/>
      <c r="L860" s="2"/>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2"/>
      <c r="J861" s="2"/>
      <c r="K861" s="3"/>
      <c r="L861" s="2"/>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2"/>
      <c r="J862" s="2"/>
      <c r="K862" s="3"/>
      <c r="L862" s="2"/>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2"/>
      <c r="J863" s="2"/>
      <c r="K863" s="3"/>
      <c r="L863" s="2"/>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2"/>
      <c r="J864" s="2"/>
      <c r="K864" s="3"/>
      <c r="L864" s="2"/>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2"/>
      <c r="J865" s="2"/>
      <c r="K865" s="3"/>
      <c r="L865" s="2"/>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2"/>
      <c r="J866" s="2"/>
      <c r="K866" s="3"/>
      <c r="L866" s="2"/>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2"/>
      <c r="J867" s="2"/>
      <c r="K867" s="3"/>
      <c r="L867" s="2"/>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2"/>
      <c r="J868" s="2"/>
      <c r="K868" s="3"/>
      <c r="L868" s="2"/>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2"/>
      <c r="J869" s="2"/>
      <c r="K869" s="3"/>
      <c r="L869" s="2"/>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2"/>
      <c r="J870" s="2"/>
      <c r="K870" s="3"/>
      <c r="L870" s="2"/>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2"/>
      <c r="J871" s="2"/>
      <c r="K871" s="3"/>
      <c r="L871" s="2"/>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2"/>
      <c r="J872" s="2"/>
      <c r="K872" s="3"/>
      <c r="L872" s="2"/>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2"/>
      <c r="J873" s="2"/>
      <c r="K873" s="3"/>
      <c r="L873" s="2"/>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2"/>
      <c r="J874" s="2"/>
      <c r="K874" s="3"/>
      <c r="L874" s="2"/>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2"/>
      <c r="J875" s="2"/>
      <c r="K875" s="3"/>
      <c r="L875" s="2"/>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2"/>
      <c r="J876" s="2"/>
      <c r="K876" s="3"/>
      <c r="L876" s="2"/>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2"/>
      <c r="J877" s="2"/>
      <c r="K877" s="3"/>
      <c r="L877" s="2"/>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2"/>
      <c r="J878" s="2"/>
      <c r="K878" s="3"/>
      <c r="L878" s="2"/>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2"/>
      <c r="J879" s="2"/>
      <c r="K879" s="3"/>
      <c r="L879" s="2"/>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2"/>
      <c r="J880" s="2"/>
      <c r="K880" s="3"/>
      <c r="L880" s="2"/>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2"/>
      <c r="J881" s="2"/>
      <c r="K881" s="3"/>
      <c r="L881" s="2"/>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2"/>
      <c r="J882" s="2"/>
      <c r="K882" s="3"/>
      <c r="L882" s="2"/>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2"/>
      <c r="J883" s="2"/>
      <c r="K883" s="3"/>
      <c r="L883" s="2"/>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2"/>
      <c r="J884" s="2"/>
      <c r="K884" s="3"/>
      <c r="L884" s="2"/>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2"/>
      <c r="J885" s="2"/>
      <c r="K885" s="3"/>
      <c r="L885" s="2"/>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2"/>
      <c r="J886" s="2"/>
      <c r="K886" s="3"/>
      <c r="L886" s="2"/>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2"/>
      <c r="J887" s="2"/>
      <c r="K887" s="3"/>
      <c r="L887" s="2"/>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2"/>
      <c r="J888" s="2"/>
      <c r="K888" s="3"/>
      <c r="L888" s="2"/>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2"/>
      <c r="J889" s="2"/>
      <c r="K889" s="3"/>
      <c r="L889" s="2"/>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2"/>
      <c r="J890" s="2"/>
      <c r="K890" s="3"/>
      <c r="L890" s="2"/>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2"/>
      <c r="J891" s="2"/>
      <c r="K891" s="3"/>
      <c r="L891" s="2"/>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2"/>
      <c r="J892" s="2"/>
      <c r="K892" s="3"/>
      <c r="L892" s="2"/>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2"/>
      <c r="J893" s="2"/>
      <c r="K893" s="3"/>
      <c r="L893" s="2"/>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2"/>
      <c r="J894" s="2"/>
      <c r="K894" s="3"/>
      <c r="L894" s="2"/>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2"/>
      <c r="J895" s="2"/>
      <c r="K895" s="3"/>
      <c r="L895" s="2"/>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2"/>
      <c r="J896" s="2"/>
      <c r="K896" s="3"/>
      <c r="L896" s="2"/>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2"/>
      <c r="J897" s="2"/>
      <c r="K897" s="3"/>
      <c r="L897" s="2"/>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2"/>
      <c r="J898" s="2"/>
      <c r="K898" s="3"/>
      <c r="L898" s="2"/>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2"/>
      <c r="J899" s="2"/>
      <c r="K899" s="3"/>
      <c r="L899" s="2"/>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2"/>
      <c r="J900" s="2"/>
      <c r="K900" s="3"/>
      <c r="L900" s="2"/>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2"/>
      <c r="J901" s="2"/>
      <c r="K901" s="3"/>
      <c r="L901" s="2"/>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2"/>
      <c r="J902" s="2"/>
      <c r="K902" s="3"/>
      <c r="L902" s="2"/>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2"/>
      <c r="J903" s="2"/>
      <c r="K903" s="3"/>
      <c r="L903" s="2"/>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2"/>
      <c r="J904" s="2"/>
      <c r="K904" s="3"/>
      <c r="L904" s="2"/>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2"/>
      <c r="J905" s="2"/>
      <c r="K905" s="3"/>
      <c r="L905" s="2"/>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2"/>
      <c r="J906" s="2"/>
      <c r="K906" s="3"/>
      <c r="L906" s="2"/>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2"/>
      <c r="J907" s="2"/>
      <c r="K907" s="3"/>
      <c r="L907" s="2"/>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2"/>
      <c r="J908" s="2"/>
      <c r="K908" s="3"/>
      <c r="L908" s="2"/>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2"/>
      <c r="J909" s="2"/>
      <c r="K909" s="3"/>
      <c r="L909" s="2"/>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2"/>
      <c r="J910" s="2"/>
      <c r="K910" s="3"/>
      <c r="L910" s="2"/>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2"/>
      <c r="J911" s="2"/>
      <c r="K911" s="3"/>
      <c r="L911" s="2"/>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2"/>
      <c r="J912" s="2"/>
      <c r="K912" s="3"/>
      <c r="L912" s="2"/>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2"/>
      <c r="J913" s="2"/>
      <c r="K913" s="3"/>
      <c r="L913" s="2"/>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2"/>
      <c r="J914" s="2"/>
      <c r="K914" s="3"/>
      <c r="L914" s="2"/>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2"/>
      <c r="J915" s="2"/>
      <c r="K915" s="3"/>
      <c r="L915" s="2"/>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2"/>
      <c r="J916" s="2"/>
      <c r="K916" s="3"/>
      <c r="L916" s="2"/>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2"/>
      <c r="J917" s="2"/>
      <c r="K917" s="3"/>
      <c r="L917" s="2"/>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2"/>
      <c r="J918" s="2"/>
      <c r="K918" s="3"/>
      <c r="L918" s="2"/>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2"/>
      <c r="J919" s="2"/>
      <c r="K919" s="3"/>
      <c r="L919" s="2"/>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2"/>
      <c r="J920" s="2"/>
      <c r="K920" s="3"/>
      <c r="L920" s="2"/>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2"/>
      <c r="J921" s="2"/>
      <c r="K921" s="3"/>
      <c r="L921" s="2"/>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2"/>
      <c r="J922" s="2"/>
      <c r="K922" s="3"/>
      <c r="L922" s="2"/>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2"/>
      <c r="J923" s="2"/>
      <c r="K923" s="3"/>
      <c r="L923" s="2"/>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2"/>
      <c r="J924" s="2"/>
      <c r="K924" s="3"/>
      <c r="L924" s="2"/>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2"/>
      <c r="J925" s="2"/>
      <c r="K925" s="3"/>
      <c r="L925" s="2"/>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2"/>
      <c r="J926" s="2"/>
      <c r="K926" s="3"/>
      <c r="L926" s="2"/>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2"/>
      <c r="J927" s="2"/>
      <c r="K927" s="3"/>
      <c r="L927" s="2"/>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2"/>
      <c r="J928" s="2"/>
      <c r="K928" s="3"/>
      <c r="L928" s="2"/>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2"/>
      <c r="J929" s="2"/>
      <c r="K929" s="3"/>
      <c r="L929" s="2"/>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2"/>
      <c r="J930" s="2"/>
      <c r="K930" s="3"/>
      <c r="L930" s="2"/>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2"/>
      <c r="J931" s="2"/>
      <c r="K931" s="3"/>
      <c r="L931" s="2"/>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2"/>
      <c r="J932" s="2"/>
      <c r="K932" s="3"/>
      <c r="L932" s="2"/>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2"/>
      <c r="J933" s="2"/>
      <c r="K933" s="3"/>
      <c r="L933" s="2"/>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2"/>
      <c r="J934" s="2"/>
      <c r="K934" s="3"/>
      <c r="L934" s="2"/>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2"/>
      <c r="J935" s="2"/>
      <c r="K935" s="3"/>
      <c r="L935" s="2"/>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2"/>
      <c r="J936" s="2"/>
      <c r="K936" s="3"/>
      <c r="L936" s="2"/>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2"/>
      <c r="J937" s="2"/>
      <c r="K937" s="3"/>
      <c r="L937" s="2"/>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2"/>
      <c r="J938" s="2"/>
      <c r="K938" s="3"/>
      <c r="L938" s="2"/>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2"/>
      <c r="J939" s="2"/>
      <c r="K939" s="3"/>
      <c r="L939" s="2"/>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2"/>
      <c r="J940" s="2"/>
      <c r="K940" s="3"/>
      <c r="L940" s="2"/>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2"/>
      <c r="J941" s="2"/>
      <c r="K941" s="3"/>
      <c r="L941" s="2"/>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2"/>
      <c r="J942" s="2"/>
      <c r="K942" s="3"/>
      <c r="L942" s="2"/>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2"/>
      <c r="J943" s="2"/>
      <c r="K943" s="3"/>
      <c r="L943" s="2"/>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2"/>
      <c r="J944" s="2"/>
      <c r="K944" s="3"/>
      <c r="L944" s="2"/>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2"/>
      <c r="J945" s="2"/>
      <c r="K945" s="3"/>
      <c r="L945" s="2"/>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2"/>
      <c r="J946" s="2"/>
      <c r="K946" s="3"/>
      <c r="L946" s="2"/>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2"/>
      <c r="J947" s="2"/>
      <c r="K947" s="3"/>
      <c r="L947" s="2"/>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2"/>
      <c r="J948" s="2"/>
      <c r="K948" s="3"/>
      <c r="L948" s="2"/>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2"/>
      <c r="J949" s="2"/>
      <c r="K949" s="3"/>
      <c r="L949" s="2"/>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2"/>
      <c r="J950" s="2"/>
      <c r="K950" s="3"/>
      <c r="L950" s="2"/>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2"/>
      <c r="J951" s="2"/>
      <c r="K951" s="3"/>
      <c r="L951" s="2"/>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2"/>
      <c r="J952" s="2"/>
      <c r="K952" s="3"/>
      <c r="L952" s="2"/>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2"/>
      <c r="J953" s="2"/>
      <c r="K953" s="3"/>
      <c r="L953" s="2"/>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2"/>
      <c r="J954" s="2"/>
      <c r="K954" s="3"/>
      <c r="L954" s="2"/>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2"/>
      <c r="J955" s="2"/>
      <c r="K955" s="3"/>
      <c r="L955" s="2"/>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2"/>
      <c r="J956" s="2"/>
      <c r="K956" s="3"/>
      <c r="L956" s="2"/>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2"/>
      <c r="J957" s="2"/>
      <c r="K957" s="3"/>
      <c r="L957" s="2"/>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2"/>
      <c r="J958" s="2"/>
      <c r="K958" s="3"/>
      <c r="L958" s="2"/>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2"/>
      <c r="J959" s="2"/>
      <c r="K959" s="3"/>
      <c r="L959" s="2"/>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2"/>
      <c r="J960" s="2"/>
      <c r="K960" s="3"/>
      <c r="L960" s="2"/>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2"/>
      <c r="J961" s="2"/>
      <c r="K961" s="3"/>
      <c r="L961" s="2"/>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2"/>
      <c r="J962" s="2"/>
      <c r="K962" s="3"/>
      <c r="L962" s="2"/>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2"/>
      <c r="J963" s="2"/>
      <c r="K963" s="3"/>
      <c r="L963" s="2"/>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2"/>
      <c r="J964" s="2"/>
      <c r="K964" s="3"/>
      <c r="L964" s="2"/>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2"/>
      <c r="J965" s="2"/>
      <c r="K965" s="3"/>
      <c r="L965" s="2"/>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2"/>
      <c r="J966" s="2"/>
      <c r="K966" s="3"/>
      <c r="L966" s="2"/>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2"/>
      <c r="J967" s="2"/>
      <c r="K967" s="3"/>
      <c r="L967" s="2"/>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2"/>
      <c r="J968" s="2"/>
      <c r="K968" s="3"/>
      <c r="L968" s="2"/>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2"/>
      <c r="J969" s="2"/>
      <c r="K969" s="3"/>
      <c r="L969" s="2"/>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2"/>
      <c r="J970" s="2"/>
      <c r="K970" s="3"/>
      <c r="L970" s="2"/>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2"/>
      <c r="J971" s="2"/>
      <c r="K971" s="3"/>
      <c r="L971" s="2"/>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2"/>
      <c r="J972" s="2"/>
      <c r="K972" s="3"/>
      <c r="L972" s="2"/>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2"/>
      <c r="J973" s="2"/>
      <c r="K973" s="3"/>
      <c r="L973" s="2"/>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2"/>
      <c r="J974" s="2"/>
      <c r="K974" s="3"/>
      <c r="L974" s="2"/>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2"/>
      <c r="J975" s="2"/>
      <c r="K975" s="3"/>
      <c r="L975" s="2"/>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2"/>
      <c r="J976" s="2"/>
      <c r="K976" s="3"/>
      <c r="L976" s="2"/>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2"/>
      <c r="J977" s="2"/>
      <c r="K977" s="3"/>
      <c r="L977" s="2"/>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2"/>
      <c r="J978" s="2"/>
      <c r="K978" s="3"/>
      <c r="L978" s="2"/>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2"/>
      <c r="J979" s="2"/>
      <c r="K979" s="3"/>
      <c r="L979" s="2"/>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2"/>
      <c r="J980" s="2"/>
      <c r="K980" s="3"/>
      <c r="L980" s="2"/>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2"/>
      <c r="J981" s="2"/>
      <c r="K981" s="3"/>
      <c r="L981" s="2"/>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2"/>
      <c r="J982" s="2"/>
      <c r="K982" s="3"/>
      <c r="L982" s="2"/>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2"/>
      <c r="J983" s="2"/>
      <c r="K983" s="3"/>
      <c r="L983" s="2"/>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2"/>
      <c r="J984" s="2"/>
      <c r="K984" s="3"/>
      <c r="L984" s="2"/>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2"/>
      <c r="J985" s="2"/>
      <c r="K985" s="3"/>
      <c r="L985" s="2"/>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2"/>
      <c r="J986" s="2"/>
      <c r="K986" s="3"/>
      <c r="L986" s="2"/>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2"/>
      <c r="J987" s="2"/>
      <c r="K987" s="3"/>
      <c r="L987" s="2"/>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2"/>
      <c r="J988" s="2"/>
      <c r="K988" s="3"/>
      <c r="L988" s="2"/>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2"/>
      <c r="J989" s="2"/>
      <c r="K989" s="3"/>
      <c r="L989" s="2"/>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2"/>
      <c r="J990" s="2"/>
      <c r="K990" s="3"/>
      <c r="L990" s="2"/>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2"/>
      <c r="J991" s="2"/>
      <c r="K991" s="3"/>
      <c r="L991" s="2"/>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2"/>
      <c r="J992" s="2"/>
      <c r="K992" s="3"/>
      <c r="L992" s="2"/>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2"/>
      <c r="J993" s="2"/>
      <c r="K993" s="3"/>
      <c r="L993" s="2"/>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2"/>
      <c r="J994" s="2"/>
      <c r="K994" s="3"/>
      <c r="L994" s="2"/>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2"/>
      <c r="J995" s="2"/>
      <c r="K995" s="3"/>
      <c r="L995" s="2"/>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2"/>
      <c r="J996" s="2"/>
      <c r="K996" s="3"/>
      <c r="L996" s="2"/>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2"/>
      <c r="J997" s="2"/>
      <c r="K997" s="3"/>
      <c r="L997" s="2"/>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2"/>
      <c r="J998" s="2"/>
      <c r="K998" s="3"/>
      <c r="L998" s="2"/>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2"/>
      <c r="J999" s="2"/>
      <c r="K999" s="3"/>
      <c r="L999" s="2"/>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2"/>
      <c r="J1000" s="2"/>
      <c r="K1000" s="3"/>
      <c r="L1000" s="2"/>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2"/>
      <c r="J1001" s="2"/>
      <c r="K1001" s="3"/>
      <c r="L1001" s="2"/>
      <c r="M1001" s="1"/>
      <c r="N1001" s="1"/>
      <c r="O1001" s="1"/>
      <c r="P1001" s="1"/>
      <c r="Q1001" s="1"/>
      <c r="R1001" s="1"/>
      <c r="S1001" s="1"/>
      <c r="T1001" s="1"/>
      <c r="U1001" s="1"/>
      <c r="V1001" s="1"/>
      <c r="W1001" s="1"/>
      <c r="X1001" s="1"/>
      <c r="Y1001" s="1"/>
      <c r="Z1001" s="1"/>
    </row>
    <row r="1002" spans="1:26" ht="15.75" customHeight="1" x14ac:dyDescent="0.25">
      <c r="A1002" s="1"/>
      <c r="B1002" s="1"/>
      <c r="C1002" s="1"/>
      <c r="D1002" s="1"/>
      <c r="E1002" s="1"/>
      <c r="F1002" s="1"/>
      <c r="G1002" s="1"/>
      <c r="H1002" s="1"/>
      <c r="I1002" s="2"/>
      <c r="J1002" s="2"/>
      <c r="K1002" s="3"/>
      <c r="L1002" s="2"/>
      <c r="M1002" s="1"/>
      <c r="N1002" s="1"/>
      <c r="O1002" s="1"/>
      <c r="P1002" s="1"/>
      <c r="Q1002" s="1"/>
      <c r="R1002" s="1"/>
      <c r="S1002" s="1"/>
      <c r="T1002" s="1"/>
      <c r="U1002" s="1"/>
      <c r="V1002" s="1"/>
      <c r="W1002" s="1"/>
      <c r="X1002" s="1"/>
      <c r="Y1002" s="1"/>
      <c r="Z1002" s="1"/>
    </row>
  </sheetData>
  <mergeCells count="1">
    <mergeCell ref="B3:O3"/>
  </mergeCells>
  <conditionalFormatting sqref="K7">
    <cfRule type="colorScale" priority="5">
      <colorScale>
        <cfvo type="min"/>
        <cfvo type="max"/>
        <color rgb="FFFFFFFF"/>
        <color rgb="FF57BB8A"/>
      </colorScale>
    </cfRule>
  </conditionalFormatting>
  <conditionalFormatting sqref="L8">
    <cfRule type="colorScale" priority="4">
      <colorScale>
        <cfvo type="min"/>
        <cfvo type="max"/>
        <color rgb="FF57BB8A"/>
        <color rgb="FFFFFFFF"/>
      </colorScale>
    </cfRule>
  </conditionalFormatting>
  <conditionalFormatting sqref="L6:L10 L12">
    <cfRule type="colorScale" priority="7">
      <colorScale>
        <cfvo type="min"/>
        <cfvo type="max"/>
        <color rgb="FF57BB8A"/>
        <color rgb="FFFFFFFF"/>
      </colorScale>
    </cfRule>
  </conditionalFormatting>
  <conditionalFormatting sqref="L11">
    <cfRule type="colorScale" priority="1">
      <colorScale>
        <cfvo type="min"/>
        <cfvo type="max"/>
        <color rgb="FF57BB8A"/>
        <color rgb="FFFFFFFF"/>
      </colorScale>
    </cfRule>
  </conditionalFormatting>
  <dataValidations count="4">
    <dataValidation type="list" allowBlank="1" showErrorMessage="1" sqref="K14:L21" xr:uid="{00000000-0002-0000-0000-000001000000}">
      <formula1>#REF!</formula1>
    </dataValidation>
    <dataValidation type="list" allowBlank="1" showErrorMessage="1" sqref="K6:K12" xr:uid="{00000000-0002-0000-0000-000000000000}">
      <formula1>$K$31:$K$33</formula1>
    </dataValidation>
    <dataValidation type="list" allowBlank="1" showErrorMessage="1" sqref="L6:L12" xr:uid="{00000000-0002-0000-0000-000002000000}">
      <formula1>$L$31:$L$34</formula1>
    </dataValidation>
    <dataValidation type="custom" allowBlank="1" showDropDown="1" sqref="J6:J12" xr:uid="{00000000-0002-0000-0000-000003000000}">
      <formula1>OR(NOT(ISERROR(DATEVALUE(J6))), AND(ISNUMBER(J6), LEFT(CELL("format", J6))="D"))</formula1>
    </dataValidation>
  </dataValidations>
  <printOptions horizontalCentered="1"/>
  <pageMargins left="0.31496062992125984" right="0.31496062992125984" top="0.74803149606299213" bottom="0.55118110236220474" header="0" footer="0"/>
  <pageSetup paperSize="9" scale="26"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20"/>
  <sheetViews>
    <sheetView showGridLines="0" topLeftCell="A10" workbookViewId="0">
      <selection activeCell="F35" sqref="F35"/>
    </sheetView>
  </sheetViews>
  <sheetFormatPr baseColWidth="10" defaultColWidth="12.59765625" defaultRowHeight="15" customHeight="1" x14ac:dyDescent="0.25"/>
  <cols>
    <col min="1" max="1" width="9.3984375" customWidth="1"/>
    <col min="2" max="2" width="2.59765625" customWidth="1"/>
    <col min="3" max="15" width="10.59765625" customWidth="1"/>
    <col min="16" max="16" width="2.59765625" customWidth="1"/>
    <col min="17" max="26" width="9.3984375" customWidth="1"/>
  </cols>
  <sheetData>
    <row r="2" spans="1:26" ht="15" hidden="1" customHeight="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row>
    <row r="3" spans="1:26" ht="15" hidden="1" customHeight="1" x14ac:dyDescent="0.25">
      <c r="A3" s="35"/>
      <c r="B3" s="35"/>
      <c r="C3" s="35"/>
      <c r="D3" s="35"/>
      <c r="E3" s="35"/>
      <c r="F3" s="35"/>
      <c r="G3" s="35"/>
      <c r="H3" s="35"/>
      <c r="I3" s="35"/>
      <c r="J3" s="35"/>
      <c r="K3" s="35"/>
      <c r="L3" s="35"/>
      <c r="M3" s="35"/>
      <c r="N3" s="35"/>
      <c r="O3" s="35"/>
      <c r="P3" s="35"/>
      <c r="Q3" s="35"/>
      <c r="R3" s="35"/>
      <c r="S3" s="35"/>
      <c r="T3" s="35"/>
      <c r="U3" s="35"/>
      <c r="V3" s="35"/>
      <c r="W3" s="35"/>
      <c r="X3" s="35"/>
      <c r="Y3" s="35"/>
      <c r="Z3" s="35"/>
    </row>
    <row r="4" spans="1:26" ht="14.4" hidden="1" x14ac:dyDescent="0.3">
      <c r="A4" s="35"/>
      <c r="B4" s="35"/>
      <c r="C4" s="10"/>
      <c r="D4" s="10"/>
      <c r="E4" s="10"/>
      <c r="F4" s="11"/>
      <c r="G4" s="35"/>
      <c r="H4" s="35"/>
      <c r="I4" s="35"/>
      <c r="J4" s="35"/>
      <c r="K4" s="35"/>
      <c r="L4" s="35"/>
      <c r="M4" s="35"/>
      <c r="N4" s="35"/>
      <c r="O4" s="35"/>
      <c r="P4" s="35"/>
      <c r="Q4" s="35"/>
      <c r="R4" s="35"/>
      <c r="S4" s="35"/>
      <c r="T4" s="35"/>
      <c r="U4" s="35"/>
      <c r="V4" s="35"/>
      <c r="W4" s="35"/>
      <c r="X4" s="35"/>
      <c r="Y4" s="35"/>
      <c r="Z4" s="35"/>
    </row>
    <row r="5" spans="1:26" ht="14.4" hidden="1" x14ac:dyDescent="0.3">
      <c r="A5" s="35"/>
      <c r="B5" s="35"/>
      <c r="C5" s="10"/>
      <c r="D5" s="10"/>
      <c r="E5" s="10"/>
      <c r="F5" s="11"/>
      <c r="G5" s="35"/>
      <c r="H5" s="35"/>
      <c r="I5" s="35"/>
      <c r="J5" s="35"/>
      <c r="K5" s="35"/>
      <c r="L5" s="35"/>
      <c r="M5" s="35"/>
      <c r="N5" s="35"/>
      <c r="O5" s="35"/>
      <c r="P5" s="35"/>
      <c r="Q5" s="35"/>
      <c r="R5" s="35"/>
      <c r="S5" s="35"/>
      <c r="T5" s="35"/>
      <c r="U5" s="35"/>
      <c r="V5" s="35"/>
      <c r="W5" s="35"/>
      <c r="X5" s="35"/>
      <c r="Y5" s="35"/>
      <c r="Z5" s="35"/>
    </row>
    <row r="6" spans="1:26" ht="39.75" customHeight="1" x14ac:dyDescent="0.25">
      <c r="A6" s="35"/>
      <c r="B6" s="122" t="s">
        <v>31</v>
      </c>
      <c r="C6" s="123"/>
      <c r="D6" s="123"/>
      <c r="E6" s="123"/>
      <c r="F6" s="123"/>
      <c r="G6" s="123"/>
      <c r="H6" s="123"/>
      <c r="I6" s="123"/>
      <c r="J6" s="123"/>
      <c r="K6" s="123"/>
      <c r="L6" s="123"/>
      <c r="M6" s="123"/>
      <c r="N6" s="123"/>
      <c r="O6" s="123"/>
      <c r="P6" s="124"/>
      <c r="Q6" s="35"/>
      <c r="R6" s="35"/>
      <c r="S6" s="35"/>
      <c r="T6" s="35"/>
      <c r="U6" s="35"/>
      <c r="V6" s="35"/>
      <c r="W6" s="35"/>
      <c r="X6" s="35"/>
      <c r="Y6" s="35"/>
      <c r="Z6" s="35"/>
    </row>
    <row r="7" spans="1:26" ht="9.75" customHeight="1" x14ac:dyDescent="0.25">
      <c r="A7" s="24"/>
      <c r="B7" s="24"/>
      <c r="C7" s="12"/>
      <c r="D7" s="12"/>
      <c r="E7" s="12"/>
      <c r="F7" s="12"/>
      <c r="G7" s="12"/>
      <c r="H7" s="12"/>
      <c r="I7" s="12"/>
      <c r="J7" s="12"/>
      <c r="K7" s="12"/>
      <c r="L7" s="12"/>
      <c r="M7" s="12"/>
      <c r="N7" s="12"/>
      <c r="O7" s="12"/>
      <c r="P7" s="24"/>
      <c r="Q7" s="24"/>
      <c r="R7" s="24"/>
      <c r="S7" s="24"/>
      <c r="T7" s="24"/>
      <c r="U7" s="24"/>
      <c r="V7" s="24"/>
      <c r="W7" s="24"/>
      <c r="X7" s="24"/>
      <c r="Y7" s="24"/>
      <c r="Z7" s="24"/>
    </row>
    <row r="8" spans="1:26" ht="9.75" customHeight="1" x14ac:dyDescent="0.3">
      <c r="A8" s="35"/>
      <c r="B8" s="37"/>
      <c r="C8" s="17"/>
      <c r="D8" s="17"/>
      <c r="E8" s="17"/>
      <c r="F8" s="18"/>
      <c r="G8" s="25"/>
      <c r="H8" s="25"/>
      <c r="I8" s="25"/>
      <c r="J8" s="25"/>
      <c r="K8" s="25"/>
      <c r="L8" s="25"/>
      <c r="M8" s="25"/>
      <c r="N8" s="25"/>
      <c r="O8" s="25"/>
      <c r="P8" s="38"/>
      <c r="Q8" s="24"/>
      <c r="R8" s="35"/>
      <c r="S8" s="35"/>
      <c r="T8" s="35"/>
      <c r="U8" s="35"/>
      <c r="V8" s="35"/>
      <c r="W8" s="35"/>
      <c r="X8" s="35"/>
      <c r="Y8" s="35"/>
      <c r="Z8" s="35"/>
    </row>
    <row r="9" spans="1:26" ht="30" customHeight="1" x14ac:dyDescent="0.25">
      <c r="A9" s="35"/>
      <c r="B9" s="21"/>
      <c r="C9" s="13" t="s">
        <v>1</v>
      </c>
      <c r="D9" s="39"/>
      <c r="E9" s="137" t="s">
        <v>32</v>
      </c>
      <c r="F9" s="138"/>
      <c r="G9" s="39"/>
      <c r="H9" s="137" t="s">
        <v>11</v>
      </c>
      <c r="I9" s="138"/>
      <c r="J9" s="20"/>
      <c r="K9" s="20"/>
      <c r="L9" s="20"/>
      <c r="M9" s="20"/>
      <c r="N9" s="20"/>
      <c r="O9" s="20"/>
      <c r="P9" s="22"/>
      <c r="Q9" s="24"/>
      <c r="R9" s="35"/>
      <c r="S9" s="35"/>
      <c r="T9" s="35"/>
      <c r="U9" s="35"/>
      <c r="V9" s="35"/>
      <c r="W9" s="35"/>
      <c r="X9" s="35"/>
      <c r="Y9" s="35"/>
      <c r="Z9" s="35"/>
    </row>
    <row r="10" spans="1:26" ht="30" customHeight="1" x14ac:dyDescent="0.25">
      <c r="A10" s="35"/>
      <c r="B10" s="21"/>
      <c r="C10" s="19" t="s">
        <v>15</v>
      </c>
      <c r="D10" s="40"/>
      <c r="E10" s="86" t="str">
        <f>VLOOKUP(C10,'Formato descripción HU'!B6:O21,5,0)</f>
        <v>Administradores</v>
      </c>
      <c r="F10" s="87"/>
      <c r="G10" s="41"/>
      <c r="H10" s="86" t="str">
        <f>VLOOKUP(C10,'Formato descripción HU'!B6:O21,11,0)</f>
        <v>Terminado</v>
      </c>
      <c r="I10" s="87"/>
      <c r="J10" s="41"/>
      <c r="K10" s="20"/>
      <c r="L10" s="20"/>
      <c r="M10" s="20"/>
      <c r="N10" s="20"/>
      <c r="O10" s="20"/>
      <c r="P10" s="22"/>
      <c r="Q10" s="24"/>
      <c r="R10" s="35"/>
      <c r="S10" s="35"/>
      <c r="T10" s="35"/>
      <c r="U10" s="35"/>
      <c r="V10" s="35"/>
      <c r="W10" s="35"/>
      <c r="X10" s="35"/>
      <c r="Y10" s="35"/>
      <c r="Z10" s="35"/>
    </row>
    <row r="11" spans="1:26" ht="9.75" customHeight="1" x14ac:dyDescent="0.25">
      <c r="A11" s="24"/>
      <c r="B11" s="21"/>
      <c r="C11" s="42"/>
      <c r="D11" s="40"/>
      <c r="E11" s="43"/>
      <c r="F11" s="43"/>
      <c r="G11" s="41"/>
      <c r="H11" s="43"/>
      <c r="I11" s="43"/>
      <c r="J11" s="41"/>
      <c r="K11" s="43"/>
      <c r="L11" s="43"/>
      <c r="M11" s="20"/>
      <c r="N11" s="43"/>
      <c r="O11" s="43"/>
      <c r="P11" s="22"/>
      <c r="Q11" s="24"/>
      <c r="R11" s="24"/>
      <c r="S11" s="24"/>
      <c r="T11" s="24"/>
      <c r="U11" s="24"/>
      <c r="V11" s="24"/>
      <c r="W11" s="24"/>
      <c r="X11" s="24"/>
      <c r="Y11" s="24"/>
      <c r="Z11" s="24"/>
    </row>
    <row r="12" spans="1:26" ht="30" customHeight="1" x14ac:dyDescent="0.25">
      <c r="A12" s="24"/>
      <c r="B12" s="21"/>
      <c r="C12" s="13" t="s">
        <v>33</v>
      </c>
      <c r="D12" s="40"/>
      <c r="E12" s="137" t="s">
        <v>10</v>
      </c>
      <c r="F12" s="138"/>
      <c r="G12" s="41"/>
      <c r="H12" s="137" t="s">
        <v>34</v>
      </c>
      <c r="I12" s="138"/>
      <c r="J12" s="41"/>
      <c r="K12" s="43"/>
      <c r="L12" s="43"/>
      <c r="M12" s="20"/>
      <c r="N12" s="43"/>
      <c r="O12" s="43"/>
      <c r="P12" s="22"/>
      <c r="Q12" s="24"/>
      <c r="R12" s="24"/>
      <c r="S12" s="24"/>
      <c r="T12" s="24"/>
      <c r="U12" s="24"/>
      <c r="V12" s="24"/>
      <c r="W12" s="24"/>
      <c r="X12" s="24"/>
      <c r="Y12" s="24"/>
      <c r="Z12" s="24"/>
    </row>
    <row r="13" spans="1:26" ht="30" customHeight="1" x14ac:dyDescent="0.25">
      <c r="A13" s="24"/>
      <c r="B13" s="21"/>
      <c r="C13" s="19">
        <f>VLOOKUP('Historia de Usuario'!C10,'Formato descripción HU'!B6:O21,8,0)</f>
        <v>8</v>
      </c>
      <c r="D13" s="40"/>
      <c r="E13" s="86" t="str">
        <f>VLOOKUP(C10,'Formato descripción HU'!B6:O21,10,0)</f>
        <v>Alta</v>
      </c>
      <c r="F13" s="87"/>
      <c r="G13" s="41"/>
      <c r="H13" s="86" t="str">
        <f>VLOOKUP(C10,'Formato descripción HU'!B6:O21,7,0)</f>
        <v>César Herrera</v>
      </c>
      <c r="I13" s="87"/>
      <c r="J13" s="41"/>
      <c r="K13" s="43"/>
      <c r="L13" s="43"/>
      <c r="M13" s="20"/>
      <c r="N13" s="43"/>
      <c r="O13" s="43"/>
      <c r="P13" s="22"/>
      <c r="Q13" s="24"/>
      <c r="R13" s="24"/>
      <c r="S13" s="24"/>
      <c r="T13" s="24"/>
      <c r="U13" s="24"/>
      <c r="V13" s="24"/>
      <c r="W13" s="24"/>
      <c r="X13" s="24"/>
      <c r="Y13" s="24"/>
      <c r="Z13" s="24"/>
    </row>
    <row r="14" spans="1:26" ht="9.75" customHeight="1" x14ac:dyDescent="0.25">
      <c r="A14" s="24"/>
      <c r="B14" s="21"/>
      <c r="C14" s="20"/>
      <c r="D14" s="40"/>
      <c r="E14" s="20"/>
      <c r="F14" s="20"/>
      <c r="G14" s="41"/>
      <c r="H14" s="41"/>
      <c r="I14" s="20"/>
      <c r="J14" s="20"/>
      <c r="K14" s="20"/>
      <c r="L14" s="20"/>
      <c r="M14" s="20"/>
      <c r="N14" s="20"/>
      <c r="O14" s="20"/>
      <c r="P14" s="22"/>
      <c r="Q14" s="24"/>
      <c r="R14" s="24"/>
      <c r="S14" s="24"/>
      <c r="T14" s="24"/>
      <c r="U14" s="24"/>
      <c r="V14" s="24"/>
      <c r="W14" s="24"/>
      <c r="X14" s="24"/>
      <c r="Y14" s="24"/>
      <c r="Z14" s="24"/>
    </row>
    <row r="15" spans="1:26" ht="19.5" customHeight="1" x14ac:dyDescent="0.25">
      <c r="A15" s="24"/>
      <c r="B15" s="21"/>
      <c r="C15" s="125" t="s">
        <v>35</v>
      </c>
      <c r="D15" s="113" t="str">
        <f>VLOOKUP(C10,'Formato descripción HU'!B6:O21,3,0)</f>
        <v>El programa deberá implementar un sistema de reconocimiento exclusivo para administradores, con gestión de perfiles que pueda habilitar, crear o desactivar usuarios según los permisos asignados por el administrador en jefe.</v>
      </c>
      <c r="E15" s="115"/>
      <c r="F15" s="44"/>
      <c r="G15" s="125" t="s">
        <v>36</v>
      </c>
      <c r="H15" s="113" t="str">
        <f>VLOOKUP(C10,'Formato descripción HU'!B6:O21,4,0)</f>
        <v>Garantizar la seguridad, y control de accesos dentro del sistema de inventario, evitando manipulaciones no autorizadas y mejorando la gestión administrativa por niveles.</v>
      </c>
      <c r="I15" s="114"/>
      <c r="J15" s="115"/>
      <c r="K15" s="44"/>
      <c r="L15" s="125" t="s">
        <v>37</v>
      </c>
      <c r="M15" s="128" t="str">
        <f>VLOOKUP(C10,'Formato descripción HU'!B6:O21,6,0)</f>
        <v>Mediante la implementación de un proceso de autenticación que valide las credenciales de los administradores antes de permitir el acceso. Este proceso deberá ofrecer herramientas para que el administrador general pueda registrar nuevos usuarios administrativos, actualizar información de perfiles existentes y deshabilitar aquellos que deban quedar sin acceso. Además, el sistema debe asegurar que todas estas acciones se ejecuten de forma segura y queden registradas para mantener un control confiable del acceso.</v>
      </c>
      <c r="N15" s="129"/>
      <c r="O15" s="130"/>
      <c r="P15" s="22"/>
      <c r="Q15" s="24"/>
      <c r="R15" s="24"/>
      <c r="S15" s="24"/>
      <c r="T15" s="24"/>
      <c r="U15" s="24"/>
      <c r="V15" s="24"/>
      <c r="W15" s="24"/>
      <c r="X15" s="24"/>
      <c r="Y15" s="24"/>
      <c r="Z15" s="24"/>
    </row>
    <row r="16" spans="1:26" ht="19.5" customHeight="1" x14ac:dyDescent="0.25">
      <c r="A16" s="24"/>
      <c r="B16" s="21"/>
      <c r="C16" s="126"/>
      <c r="D16" s="116"/>
      <c r="E16" s="118"/>
      <c r="F16" s="44"/>
      <c r="G16" s="126"/>
      <c r="H16" s="116"/>
      <c r="I16" s="117"/>
      <c r="J16" s="118"/>
      <c r="K16" s="44"/>
      <c r="L16" s="126"/>
      <c r="M16" s="131"/>
      <c r="N16" s="132"/>
      <c r="O16" s="133"/>
      <c r="P16" s="22"/>
      <c r="Q16" s="24"/>
      <c r="R16" s="24"/>
      <c r="S16" s="24"/>
      <c r="T16" s="24"/>
      <c r="U16" s="24"/>
      <c r="V16" s="24"/>
      <c r="W16" s="24"/>
      <c r="X16" s="24"/>
      <c r="Y16" s="24"/>
      <c r="Z16" s="24"/>
    </row>
    <row r="17" spans="1:26" ht="19.5" customHeight="1" x14ac:dyDescent="0.25">
      <c r="A17" s="24"/>
      <c r="B17" s="21"/>
      <c r="C17" s="127"/>
      <c r="D17" s="119"/>
      <c r="E17" s="121"/>
      <c r="F17" s="44"/>
      <c r="G17" s="127"/>
      <c r="H17" s="119"/>
      <c r="I17" s="120"/>
      <c r="J17" s="121"/>
      <c r="K17" s="44"/>
      <c r="L17" s="127"/>
      <c r="M17" s="134"/>
      <c r="N17" s="135"/>
      <c r="O17" s="136"/>
      <c r="P17" s="22"/>
      <c r="Q17" s="24"/>
      <c r="R17" s="24"/>
      <c r="S17" s="24"/>
      <c r="T17" s="24"/>
      <c r="U17" s="24"/>
      <c r="V17" s="24"/>
      <c r="W17" s="24"/>
      <c r="X17" s="24"/>
      <c r="Y17" s="24"/>
      <c r="Z17" s="24"/>
    </row>
    <row r="18" spans="1:26" ht="9.75" customHeight="1" x14ac:dyDescent="0.25">
      <c r="A18" s="24"/>
      <c r="B18" s="21"/>
      <c r="C18" s="20"/>
      <c r="D18" s="20"/>
      <c r="E18" s="20"/>
      <c r="F18" s="20"/>
      <c r="G18" s="41"/>
      <c r="H18" s="41"/>
      <c r="I18" s="41"/>
      <c r="J18" s="20"/>
      <c r="K18" s="20"/>
      <c r="L18" s="20"/>
      <c r="M18" s="20"/>
      <c r="N18" s="20"/>
      <c r="O18" s="20"/>
      <c r="P18" s="22"/>
      <c r="Q18" s="24"/>
      <c r="R18" s="24"/>
      <c r="S18" s="24"/>
      <c r="T18" s="24"/>
      <c r="U18" s="24"/>
      <c r="V18" s="24"/>
      <c r="W18" s="24"/>
      <c r="X18" s="24"/>
      <c r="Y18" s="24"/>
      <c r="Z18" s="24"/>
    </row>
    <row r="19" spans="1:26" ht="19.5" customHeight="1" x14ac:dyDescent="0.25">
      <c r="A19" s="35"/>
      <c r="B19" s="21"/>
      <c r="C19" s="109" t="s">
        <v>38</v>
      </c>
      <c r="D19" s="110"/>
      <c r="E19" s="103" t="str">
        <f>VLOOKUP(C10,'Formato descripción HU'!B6:O21,14,0)</f>
        <v xml:space="preserve">Roles administrativos </v>
      </c>
      <c r="F19" s="104"/>
      <c r="G19" s="104"/>
      <c r="H19" s="104"/>
      <c r="I19" s="104"/>
      <c r="J19" s="104"/>
      <c r="K19" s="104"/>
      <c r="L19" s="104"/>
      <c r="M19" s="104"/>
      <c r="N19" s="104"/>
      <c r="O19" s="105"/>
      <c r="P19" s="22"/>
      <c r="Q19" s="24"/>
      <c r="R19" s="35"/>
      <c r="S19" s="35"/>
      <c r="T19" s="35"/>
      <c r="U19" s="35"/>
      <c r="V19" s="35"/>
      <c r="W19" s="35"/>
      <c r="X19" s="35"/>
      <c r="Y19" s="35"/>
      <c r="Z19" s="35"/>
    </row>
    <row r="20" spans="1:26" ht="19.5" customHeight="1" x14ac:dyDescent="0.25">
      <c r="A20" s="35"/>
      <c r="B20" s="21"/>
      <c r="C20" s="111"/>
      <c r="D20" s="112"/>
      <c r="E20" s="106"/>
      <c r="F20" s="107"/>
      <c r="G20" s="107"/>
      <c r="H20" s="107"/>
      <c r="I20" s="107"/>
      <c r="J20" s="107"/>
      <c r="K20" s="107"/>
      <c r="L20" s="107"/>
      <c r="M20" s="107"/>
      <c r="N20" s="107"/>
      <c r="O20" s="108"/>
      <c r="P20" s="22"/>
      <c r="Q20" s="24"/>
      <c r="R20" s="35"/>
      <c r="S20" s="35"/>
      <c r="T20" s="35"/>
      <c r="U20" s="35"/>
      <c r="V20" s="35"/>
      <c r="W20" s="35"/>
      <c r="X20" s="35"/>
      <c r="Y20" s="35"/>
      <c r="Z20" s="35"/>
    </row>
    <row r="21" spans="1:26" ht="9.75" customHeight="1" x14ac:dyDescent="0.25">
      <c r="A21" s="35"/>
      <c r="B21" s="21"/>
      <c r="C21" s="20"/>
      <c r="D21" s="20"/>
      <c r="E21" s="20"/>
      <c r="F21" s="20"/>
      <c r="G21" s="20"/>
      <c r="H21" s="20"/>
      <c r="I21" s="20"/>
      <c r="J21" s="20"/>
      <c r="K21" s="20"/>
      <c r="L21" s="20"/>
      <c r="M21" s="20"/>
      <c r="N21" s="20"/>
      <c r="O21" s="20"/>
      <c r="P21" s="22"/>
      <c r="Q21" s="24"/>
      <c r="R21" s="35"/>
      <c r="S21" s="35"/>
      <c r="T21" s="35"/>
      <c r="U21" s="35"/>
      <c r="V21" s="35"/>
      <c r="W21" s="35"/>
      <c r="X21" s="35"/>
      <c r="Y21" s="35"/>
      <c r="Z21" s="35"/>
    </row>
    <row r="22" spans="1:26" ht="19.5" customHeight="1" x14ac:dyDescent="0.25">
      <c r="A22" s="24"/>
      <c r="B22" s="21"/>
      <c r="C22" s="97" t="s">
        <v>39</v>
      </c>
      <c r="D22" s="98"/>
      <c r="E22" s="88" t="str">
        <f>VLOOKUP(C10,'Formato descripción HU'!B6:O21,12,0)</f>
        <v>Verificar que solo administradores con credenciales válidas pueden acceder al sistema. Probar inicio de sesión con usuario y contraseña correctos, incorrectos y con un usuario deshabilitado (debe negar el acceso). Comprobar que el administrador general puede crear, editar y desactivar perfiles, y que dichas acciones quedan registradas en un historial (usuario, fecha, hora y acción). Confirmar que un usuario desactivado no puede volver a acceder ni realizar operaciones en el sistema.</v>
      </c>
      <c r="F22" s="89"/>
      <c r="G22" s="89"/>
      <c r="H22" s="90"/>
      <c r="I22" s="20"/>
      <c r="J22" s="97" t="s">
        <v>13</v>
      </c>
      <c r="K22" s="98"/>
      <c r="L22" s="113">
        <f>VLOOKUP(C10,'Formato descripción HU'!B6:O21,13,0)</f>
        <v>0</v>
      </c>
      <c r="M22" s="114"/>
      <c r="N22" s="114"/>
      <c r="O22" s="115"/>
      <c r="P22" s="22"/>
      <c r="Q22" s="24"/>
      <c r="R22" s="24"/>
      <c r="S22" s="24"/>
      <c r="T22" s="24"/>
      <c r="U22" s="24"/>
      <c r="V22" s="24"/>
      <c r="W22" s="24"/>
      <c r="X22" s="24"/>
      <c r="Y22" s="24"/>
      <c r="Z22" s="24"/>
    </row>
    <row r="23" spans="1:26" ht="19.5" customHeight="1" x14ac:dyDescent="0.25">
      <c r="A23" s="24"/>
      <c r="B23" s="21"/>
      <c r="C23" s="99"/>
      <c r="D23" s="100"/>
      <c r="E23" s="91"/>
      <c r="F23" s="92"/>
      <c r="G23" s="92"/>
      <c r="H23" s="93"/>
      <c r="I23" s="20"/>
      <c r="J23" s="99"/>
      <c r="K23" s="100"/>
      <c r="L23" s="116"/>
      <c r="M23" s="117"/>
      <c r="N23" s="117"/>
      <c r="O23" s="118"/>
      <c r="P23" s="22"/>
      <c r="Q23" s="24"/>
      <c r="R23" s="24"/>
      <c r="S23" s="24"/>
      <c r="T23" s="24"/>
      <c r="U23" s="24"/>
      <c r="V23" s="24"/>
      <c r="W23" s="24"/>
      <c r="X23" s="24"/>
      <c r="Y23" s="24"/>
      <c r="Z23" s="24"/>
    </row>
    <row r="24" spans="1:26" ht="19.5" customHeight="1" x14ac:dyDescent="0.25">
      <c r="A24" s="24"/>
      <c r="B24" s="21"/>
      <c r="C24" s="101"/>
      <c r="D24" s="102"/>
      <c r="E24" s="94"/>
      <c r="F24" s="95"/>
      <c r="G24" s="95"/>
      <c r="H24" s="96"/>
      <c r="I24" s="20"/>
      <c r="J24" s="101"/>
      <c r="K24" s="102"/>
      <c r="L24" s="119"/>
      <c r="M24" s="120"/>
      <c r="N24" s="120"/>
      <c r="O24" s="121"/>
      <c r="P24" s="22"/>
      <c r="Q24" s="24"/>
      <c r="R24" s="24"/>
      <c r="S24" s="24"/>
      <c r="T24" s="24"/>
      <c r="U24" s="24"/>
      <c r="V24" s="24"/>
      <c r="W24" s="24"/>
      <c r="X24" s="24"/>
      <c r="Y24" s="24"/>
      <c r="Z24" s="24"/>
    </row>
    <row r="25" spans="1:26" ht="9.75" customHeight="1" x14ac:dyDescent="0.25">
      <c r="A25" s="24"/>
      <c r="B25" s="14"/>
      <c r="C25" s="45"/>
      <c r="D25" s="45"/>
      <c r="E25" s="45"/>
      <c r="F25" s="45"/>
      <c r="G25" s="45"/>
      <c r="H25" s="45"/>
      <c r="I25" s="45"/>
      <c r="J25" s="45"/>
      <c r="K25" s="45"/>
      <c r="L25" s="45"/>
      <c r="M25" s="45"/>
      <c r="N25" s="45"/>
      <c r="O25" s="45"/>
      <c r="P25" s="15"/>
      <c r="Q25" s="24"/>
      <c r="R25" s="24"/>
      <c r="S25" s="24"/>
      <c r="T25" s="24"/>
      <c r="U25" s="24"/>
      <c r="V25" s="24"/>
      <c r="W25" s="24"/>
      <c r="X25" s="24"/>
      <c r="Y25" s="24"/>
      <c r="Z25" s="24"/>
    </row>
    <row r="26" spans="1:26" ht="19.5" customHeight="1" x14ac:dyDescent="0.3">
      <c r="A26" s="35"/>
      <c r="B26" s="35"/>
      <c r="C26" s="10"/>
      <c r="D26" s="10"/>
      <c r="E26" s="10"/>
      <c r="F26" s="11"/>
      <c r="G26" s="35"/>
      <c r="H26" s="35"/>
      <c r="I26" s="35"/>
      <c r="J26" s="35"/>
      <c r="K26" s="35"/>
      <c r="L26" s="35"/>
      <c r="M26" s="35"/>
      <c r="N26" s="35"/>
      <c r="O26" s="35"/>
      <c r="P26" s="35"/>
      <c r="Q26" s="24"/>
      <c r="R26" s="24"/>
      <c r="S26" s="24"/>
      <c r="T26" s="24"/>
      <c r="U26" s="24"/>
      <c r="V26" s="24"/>
      <c r="W26" s="24"/>
      <c r="X26" s="24"/>
      <c r="Y26" s="24"/>
      <c r="Z26" s="24"/>
    </row>
    <row r="27" spans="1:26" ht="13.95" customHeight="1" x14ac:dyDescent="0.25">
      <c r="A27" s="16" t="s">
        <v>40</v>
      </c>
      <c r="B27" s="122" t="s">
        <v>31</v>
      </c>
      <c r="C27" s="123"/>
      <c r="D27" s="123"/>
      <c r="E27" s="123"/>
      <c r="F27" s="123"/>
      <c r="G27" s="123"/>
      <c r="H27" s="123"/>
      <c r="I27" s="123"/>
      <c r="J27" s="123"/>
      <c r="K27" s="123"/>
      <c r="L27" s="123"/>
      <c r="M27" s="123"/>
      <c r="N27" s="123"/>
      <c r="O27" s="123"/>
      <c r="P27" s="124"/>
      <c r="Q27" s="24"/>
      <c r="R27" s="24"/>
      <c r="S27" s="24"/>
      <c r="T27" s="24"/>
      <c r="U27" s="24"/>
      <c r="V27" s="24"/>
      <c r="W27" s="24"/>
      <c r="X27" s="24"/>
      <c r="Y27" s="24"/>
      <c r="Z27" s="24"/>
    </row>
    <row r="28" spans="1:26" ht="19.5" customHeight="1" x14ac:dyDescent="0.25">
      <c r="A28" s="24"/>
      <c r="B28" s="24"/>
      <c r="C28" s="12"/>
      <c r="D28" s="12"/>
      <c r="E28" s="12"/>
      <c r="F28" s="12"/>
      <c r="G28" s="12"/>
      <c r="H28" s="12"/>
      <c r="I28" s="12"/>
      <c r="J28" s="12"/>
      <c r="K28" s="12"/>
      <c r="L28" s="12"/>
      <c r="M28" s="12"/>
      <c r="N28" s="12"/>
      <c r="O28" s="12"/>
      <c r="P28" s="24"/>
      <c r="Q28" s="24"/>
      <c r="R28" s="24"/>
      <c r="S28" s="24"/>
      <c r="T28" s="24"/>
      <c r="U28" s="24"/>
      <c r="V28" s="24"/>
      <c r="W28" s="24"/>
      <c r="X28" s="24"/>
      <c r="Y28" s="24"/>
      <c r="Z28" s="24"/>
    </row>
    <row r="29" spans="1:26" ht="19.5" customHeight="1" x14ac:dyDescent="0.3">
      <c r="A29" s="35"/>
      <c r="B29" s="37"/>
      <c r="C29" s="17"/>
      <c r="D29" s="17"/>
      <c r="E29" s="17"/>
      <c r="F29" s="18"/>
      <c r="G29" s="25"/>
      <c r="H29" s="25"/>
      <c r="I29" s="25"/>
      <c r="J29" s="25"/>
      <c r="K29" s="25"/>
      <c r="L29" s="25"/>
      <c r="M29" s="25"/>
      <c r="N29" s="25"/>
      <c r="O29" s="25"/>
      <c r="P29" s="38"/>
      <c r="Q29" s="24"/>
      <c r="R29" s="24"/>
      <c r="S29" s="24"/>
      <c r="T29" s="24"/>
      <c r="U29" s="24"/>
      <c r="V29" s="24"/>
      <c r="W29" s="24"/>
      <c r="X29" s="24"/>
      <c r="Y29" s="24"/>
      <c r="Z29" s="24"/>
    </row>
    <row r="30" spans="1:26" ht="19.5" customHeight="1" x14ac:dyDescent="0.25">
      <c r="A30" s="35"/>
      <c r="B30" s="21"/>
      <c r="C30" s="13" t="s">
        <v>1</v>
      </c>
      <c r="D30" s="39"/>
      <c r="E30" s="137" t="s">
        <v>32</v>
      </c>
      <c r="F30" s="138"/>
      <c r="G30" s="39"/>
      <c r="H30" s="137" t="s">
        <v>11</v>
      </c>
      <c r="I30" s="138"/>
      <c r="J30" s="20"/>
      <c r="K30" s="20"/>
      <c r="L30" s="20"/>
      <c r="M30" s="20"/>
      <c r="N30" s="20"/>
      <c r="O30" s="20"/>
      <c r="P30" s="22"/>
      <c r="Q30" s="24"/>
      <c r="R30" s="24"/>
      <c r="S30" s="24"/>
      <c r="T30" s="24"/>
      <c r="U30" s="24"/>
      <c r="V30" s="24"/>
      <c r="W30" s="24"/>
      <c r="X30" s="24"/>
      <c r="Y30" s="24"/>
      <c r="Z30" s="24"/>
    </row>
    <row r="31" spans="1:26" ht="19.5" customHeight="1" x14ac:dyDescent="0.25">
      <c r="A31" s="35"/>
      <c r="B31" s="21"/>
      <c r="C31" s="19" t="s">
        <v>20</v>
      </c>
      <c r="D31" s="40"/>
      <c r="E31" s="86" t="str">
        <f>VLOOKUP(C31,'Formato descripción HU'!B7:O47,5,0)</f>
        <v>Administrador</v>
      </c>
      <c r="F31" s="87"/>
      <c r="G31" s="41"/>
      <c r="H31" s="86" t="str">
        <f>VLOOKUP(C31,'Formato descripción HU'!B7:O47,11,0)</f>
        <v>Terminado</v>
      </c>
      <c r="I31" s="87"/>
      <c r="J31" s="41"/>
      <c r="K31" s="20"/>
      <c r="L31" s="46"/>
      <c r="M31" s="20"/>
      <c r="N31" s="46"/>
      <c r="O31" s="20"/>
      <c r="P31" s="22"/>
      <c r="Q31" s="24"/>
      <c r="R31" s="24"/>
      <c r="S31" s="24"/>
      <c r="T31" s="24"/>
      <c r="U31" s="24"/>
      <c r="V31" s="24"/>
      <c r="W31" s="24"/>
      <c r="X31" s="24"/>
      <c r="Y31" s="24"/>
      <c r="Z31" s="24"/>
    </row>
    <row r="32" spans="1:26" ht="19.5" customHeight="1" x14ac:dyDescent="0.25">
      <c r="A32" s="24"/>
      <c r="B32" s="21"/>
      <c r="C32" s="42"/>
      <c r="D32" s="40"/>
      <c r="E32" s="43"/>
      <c r="F32" s="43"/>
      <c r="G32" s="41"/>
      <c r="H32" s="43"/>
      <c r="I32" s="43"/>
      <c r="J32" s="41"/>
      <c r="K32" s="43"/>
      <c r="L32" s="47"/>
      <c r="M32" s="20"/>
      <c r="N32" s="43"/>
      <c r="O32" s="43"/>
      <c r="P32" s="22"/>
      <c r="Q32" s="24"/>
      <c r="R32" s="24"/>
      <c r="S32" s="24"/>
      <c r="T32" s="24"/>
      <c r="U32" s="24"/>
      <c r="V32" s="24"/>
      <c r="W32" s="24"/>
      <c r="X32" s="24"/>
      <c r="Y32" s="24"/>
      <c r="Z32" s="24"/>
    </row>
    <row r="33" spans="1:26" ht="19.5" customHeight="1" x14ac:dyDescent="0.25">
      <c r="A33" s="24"/>
      <c r="B33" s="21"/>
      <c r="C33" s="13" t="s">
        <v>33</v>
      </c>
      <c r="D33" s="40"/>
      <c r="E33" s="137" t="s">
        <v>10</v>
      </c>
      <c r="F33" s="138"/>
      <c r="G33" s="41"/>
      <c r="H33" s="137" t="s">
        <v>34</v>
      </c>
      <c r="I33" s="138"/>
      <c r="J33" s="41"/>
      <c r="K33" s="43"/>
      <c r="L33" s="43"/>
      <c r="M33" s="20"/>
      <c r="N33" s="43"/>
      <c r="O33" s="43"/>
      <c r="P33" s="22"/>
      <c r="Q33" s="24"/>
      <c r="R33" s="24"/>
      <c r="S33" s="24"/>
      <c r="T33" s="24"/>
      <c r="U33" s="24"/>
      <c r="V33" s="24"/>
      <c r="W33" s="24"/>
      <c r="X33" s="24"/>
      <c r="Y33" s="24"/>
      <c r="Z33" s="24"/>
    </row>
    <row r="34" spans="1:26" ht="19.5" customHeight="1" x14ac:dyDescent="0.25">
      <c r="A34" s="24"/>
      <c r="B34" s="21"/>
      <c r="C34" s="19">
        <f>VLOOKUP('Historia de Usuario'!C31,'Formato descripción HU'!B7:O47,8,0)</f>
        <v>6</v>
      </c>
      <c r="D34" s="40"/>
      <c r="E34" s="86" t="str">
        <f>VLOOKUP(C31,'Formato descripción HU'!B7:O47,10,0)</f>
        <v xml:space="preserve">Media </v>
      </c>
      <c r="F34" s="87"/>
      <c r="G34" s="41"/>
      <c r="H34" s="86" t="str">
        <f>VLOOKUP(C31,'Formato descripción HU'!B7:O47,7,0)</f>
        <v>Matias Intriago</v>
      </c>
      <c r="I34" s="87"/>
      <c r="J34" s="41"/>
      <c r="K34" s="43"/>
      <c r="L34" s="43"/>
      <c r="M34" s="20"/>
      <c r="N34" s="43"/>
      <c r="O34" s="43"/>
      <c r="P34" s="22"/>
      <c r="Q34" s="35"/>
      <c r="R34" s="35"/>
      <c r="S34" s="35"/>
      <c r="T34" s="35"/>
      <c r="U34" s="35"/>
      <c r="V34" s="35"/>
      <c r="W34" s="35"/>
      <c r="X34" s="35"/>
      <c r="Y34" s="35"/>
      <c r="Z34" s="35"/>
    </row>
    <row r="35" spans="1:26" ht="19.5" customHeight="1" x14ac:dyDescent="0.25">
      <c r="A35" s="24"/>
      <c r="B35" s="21"/>
      <c r="C35" s="20"/>
      <c r="D35" s="40"/>
      <c r="E35" s="20"/>
      <c r="F35" s="20"/>
      <c r="G35" s="41"/>
      <c r="H35" s="41"/>
      <c r="I35" s="20"/>
      <c r="J35" s="20"/>
      <c r="K35" s="20"/>
      <c r="L35" s="20"/>
      <c r="M35" s="20"/>
      <c r="N35" s="20"/>
      <c r="O35" s="20"/>
      <c r="P35" s="22"/>
      <c r="Q35" s="35"/>
      <c r="R35" s="35"/>
      <c r="S35" s="35"/>
      <c r="T35" s="35"/>
      <c r="U35" s="35"/>
      <c r="V35" s="35"/>
      <c r="W35" s="35"/>
      <c r="X35" s="35"/>
      <c r="Y35" s="35"/>
      <c r="Z35" s="35"/>
    </row>
    <row r="36" spans="1:26" ht="19.5" customHeight="1" x14ac:dyDescent="0.25">
      <c r="A36" s="24"/>
      <c r="B36" s="21"/>
      <c r="C36" s="125" t="s">
        <v>35</v>
      </c>
      <c r="D36" s="113" t="str">
        <f>VLOOKUP(C31,'Formato descripción HU'!B7:O47,3,0)</f>
        <v>El programa deberá organizar los productos mediante categorías claras y filtros de búsqueda avanzados, para facilitar su consulta y administración.</v>
      </c>
      <c r="E36" s="115"/>
      <c r="F36" s="44"/>
      <c r="G36" s="125" t="s">
        <v>36</v>
      </c>
      <c r="H36" s="113" t="str">
        <f>VLOOKUP(C31,'Formato descripción HU'!B7:O47,4,0)</f>
        <v>Para mejorar la velocidad, precisión y eficiencia en la gestión y localización de productos dentro del inventario.</v>
      </c>
      <c r="I36" s="114"/>
      <c r="J36" s="115"/>
      <c r="K36" s="44"/>
      <c r="L36" s="125" t="s">
        <v>37</v>
      </c>
      <c r="M36" s="139" t="str">
        <f>VLOOKUP(C31,'Formato descripción HU'!B7:O47,6,0)</f>
        <v>A través de un conjunto de funciones que permitan al administrador organizar los productos del inventario, creando y asignando categorías claras, así como modificarlas cuando sea necesario. Estas funciones también permitirán registrar nuevos productos, actualizar los datos de los existentes y aplicar filtros de búsqueda basados en criterios como nombre, categoría, precio, lote o disponibilidad. Todo este proceso facilitará una clasificación más precisa y una localización rápida de los artículos dentro del inventario.</v>
      </c>
      <c r="N36" s="140"/>
      <c r="O36" s="141"/>
      <c r="P36" s="22"/>
      <c r="Q36" s="35"/>
      <c r="R36" s="35"/>
      <c r="S36" s="35"/>
      <c r="T36" s="35"/>
      <c r="U36" s="35"/>
      <c r="V36" s="35"/>
      <c r="W36" s="35"/>
      <c r="X36" s="35"/>
      <c r="Y36" s="35"/>
      <c r="Z36" s="35"/>
    </row>
    <row r="37" spans="1:26" ht="19.5" customHeight="1" x14ac:dyDescent="0.25">
      <c r="A37" s="24"/>
      <c r="B37" s="21"/>
      <c r="C37" s="126"/>
      <c r="D37" s="116"/>
      <c r="E37" s="118"/>
      <c r="F37" s="44"/>
      <c r="G37" s="126"/>
      <c r="H37" s="116"/>
      <c r="I37" s="117"/>
      <c r="J37" s="118"/>
      <c r="K37" s="44"/>
      <c r="L37" s="126"/>
      <c r="M37" s="142"/>
      <c r="N37" s="143"/>
      <c r="O37" s="144"/>
      <c r="P37" s="22"/>
      <c r="Q37" s="35"/>
      <c r="R37" s="35"/>
      <c r="S37" s="35"/>
      <c r="T37" s="35"/>
      <c r="U37" s="35"/>
      <c r="V37" s="35"/>
      <c r="W37" s="35"/>
      <c r="X37" s="35"/>
      <c r="Y37" s="35"/>
      <c r="Z37" s="35"/>
    </row>
    <row r="38" spans="1:26" ht="19.5" customHeight="1" x14ac:dyDescent="0.25">
      <c r="A38" s="24"/>
      <c r="B38" s="21"/>
      <c r="C38" s="127"/>
      <c r="D38" s="119"/>
      <c r="E38" s="121"/>
      <c r="F38" s="44"/>
      <c r="G38" s="127"/>
      <c r="H38" s="119"/>
      <c r="I38" s="120"/>
      <c r="J38" s="121"/>
      <c r="K38" s="44"/>
      <c r="L38" s="127"/>
      <c r="M38" s="145"/>
      <c r="N38" s="146"/>
      <c r="O38" s="147"/>
      <c r="P38" s="22"/>
      <c r="Q38" s="35"/>
      <c r="R38" s="35"/>
      <c r="S38" s="35"/>
      <c r="T38" s="35"/>
      <c r="U38" s="35"/>
      <c r="V38" s="35"/>
      <c r="W38" s="35"/>
      <c r="X38" s="35"/>
      <c r="Y38" s="35"/>
      <c r="Z38" s="35"/>
    </row>
    <row r="39" spans="1:26" ht="19.5" customHeight="1" x14ac:dyDescent="0.25">
      <c r="A39" s="24"/>
      <c r="B39" s="21"/>
      <c r="C39" s="20"/>
      <c r="D39" s="20"/>
      <c r="E39" s="20"/>
      <c r="F39" s="20"/>
      <c r="G39" s="41"/>
      <c r="H39" s="41"/>
      <c r="I39" s="41"/>
      <c r="J39" s="20"/>
      <c r="K39" s="20"/>
      <c r="L39" s="20"/>
      <c r="M39" s="20"/>
      <c r="N39" s="20"/>
      <c r="O39" s="20"/>
      <c r="P39" s="22"/>
      <c r="Q39" s="35"/>
      <c r="R39" s="35"/>
      <c r="S39" s="35"/>
      <c r="T39" s="35"/>
      <c r="U39" s="35"/>
      <c r="V39" s="35"/>
      <c r="W39" s="35"/>
      <c r="X39" s="35"/>
      <c r="Y39" s="35"/>
      <c r="Z39" s="35"/>
    </row>
    <row r="40" spans="1:26" ht="19.5" customHeight="1" x14ac:dyDescent="0.25">
      <c r="A40" s="35"/>
      <c r="B40" s="21"/>
      <c r="C40" s="109" t="s">
        <v>38</v>
      </c>
      <c r="D40" s="110"/>
      <c r="E40" s="103" t="str">
        <f>VLOOKUP(C31,'Formato descripción HU'!B7:O47,14,0)</f>
        <v xml:space="preserve">Categorización de productos en el inventario </v>
      </c>
      <c r="F40" s="104"/>
      <c r="G40" s="104"/>
      <c r="H40" s="104"/>
      <c r="I40" s="104"/>
      <c r="J40" s="104"/>
      <c r="K40" s="104"/>
      <c r="L40" s="104"/>
      <c r="M40" s="104"/>
      <c r="N40" s="104"/>
      <c r="O40" s="105"/>
      <c r="P40" s="22"/>
      <c r="Q40" s="35"/>
      <c r="R40" s="35"/>
      <c r="S40" s="35"/>
      <c r="T40" s="35"/>
      <c r="U40" s="35"/>
      <c r="V40" s="35"/>
      <c r="W40" s="35"/>
      <c r="X40" s="35"/>
      <c r="Y40" s="35"/>
      <c r="Z40" s="35"/>
    </row>
    <row r="41" spans="1:26" ht="19.5" customHeight="1" x14ac:dyDescent="0.25">
      <c r="A41" s="35"/>
      <c r="B41" s="21"/>
      <c r="C41" s="111"/>
      <c r="D41" s="112"/>
      <c r="E41" s="106"/>
      <c r="F41" s="107"/>
      <c r="G41" s="107"/>
      <c r="H41" s="107"/>
      <c r="I41" s="107"/>
      <c r="J41" s="107"/>
      <c r="K41" s="107"/>
      <c r="L41" s="107"/>
      <c r="M41" s="107"/>
      <c r="N41" s="107"/>
      <c r="O41" s="108"/>
      <c r="P41" s="22"/>
      <c r="Q41" s="35"/>
      <c r="R41" s="35"/>
      <c r="S41" s="35"/>
      <c r="T41" s="35"/>
      <c r="U41" s="35"/>
      <c r="V41" s="35"/>
      <c r="W41" s="35"/>
      <c r="X41" s="35"/>
      <c r="Y41" s="35"/>
      <c r="Z41" s="35"/>
    </row>
    <row r="42" spans="1:26" ht="19.5" customHeight="1" x14ac:dyDescent="0.25">
      <c r="A42" s="35"/>
      <c r="B42" s="21"/>
      <c r="C42" s="20"/>
      <c r="D42" s="20"/>
      <c r="E42" s="20"/>
      <c r="F42" s="20"/>
      <c r="G42" s="20"/>
      <c r="H42" s="20"/>
      <c r="I42" s="20"/>
      <c r="J42" s="20"/>
      <c r="K42" s="20"/>
      <c r="L42" s="20"/>
      <c r="M42" s="20"/>
      <c r="N42" s="20"/>
      <c r="O42" s="20"/>
      <c r="P42" s="22"/>
      <c r="Q42" s="35"/>
      <c r="R42" s="35"/>
      <c r="S42" s="35"/>
      <c r="T42" s="35"/>
      <c r="U42" s="35"/>
      <c r="V42" s="35"/>
      <c r="W42" s="35"/>
      <c r="X42" s="35"/>
      <c r="Y42" s="35"/>
      <c r="Z42" s="35"/>
    </row>
    <row r="43" spans="1:26" ht="19.5" customHeight="1" x14ac:dyDescent="0.25">
      <c r="A43" s="24"/>
      <c r="B43" s="21"/>
      <c r="C43" s="97" t="s">
        <v>39</v>
      </c>
      <c r="D43" s="98"/>
      <c r="E43" s="88" t="str">
        <f>VLOOKUP(C31,'Formato descripción HU'!B7:O47,12,0)</f>
        <v>Para verificar este requisito, se comprobará que el sistema permita insertar, modificar, buscar y eliminar productos en la base de datos de manera correcta. Se evaluará que cada producto quede adecuadamente asociado a una categoría válida y que la organización de los elementos siga los criterios establecidos, como categoría, nombre, precio o stock. Además, se realizarán pruebas de búsqueda y filtrado utilizando diferentes combinaciones de datos, así como pruebas con distintos volúmenes de información para validar el rendimiento del sistema. Finalmente, se confirmará con el administrador que la categorización y los filtros cumplen con los requerimientos funcionales establecidos.</v>
      </c>
      <c r="F43" s="89"/>
      <c r="G43" s="89"/>
      <c r="H43" s="90"/>
      <c r="I43" s="20"/>
      <c r="J43" s="97" t="s">
        <v>13</v>
      </c>
      <c r="K43" s="98"/>
      <c r="L43" s="113">
        <f>VLOOKUP(C31,'Formato descripción HU'!B7:O47,13,0)</f>
        <v>0</v>
      </c>
      <c r="M43" s="114"/>
      <c r="N43" s="114"/>
      <c r="O43" s="115"/>
      <c r="P43" s="22"/>
      <c r="Q43" s="35"/>
      <c r="R43" s="35"/>
      <c r="S43" s="35"/>
      <c r="T43" s="35"/>
      <c r="U43" s="35"/>
      <c r="V43" s="35"/>
      <c r="W43" s="35"/>
      <c r="X43" s="35"/>
      <c r="Y43" s="35"/>
      <c r="Z43" s="35"/>
    </row>
    <row r="44" spans="1:26" ht="19.5" customHeight="1" x14ac:dyDescent="0.25">
      <c r="A44" s="24"/>
      <c r="B44" s="21"/>
      <c r="C44" s="99"/>
      <c r="D44" s="100"/>
      <c r="E44" s="91"/>
      <c r="F44" s="92"/>
      <c r="G44" s="92"/>
      <c r="H44" s="93"/>
      <c r="I44" s="20"/>
      <c r="J44" s="99"/>
      <c r="K44" s="100"/>
      <c r="L44" s="116"/>
      <c r="M44" s="117"/>
      <c r="N44" s="117"/>
      <c r="O44" s="118"/>
      <c r="P44" s="22"/>
      <c r="Q44" s="35"/>
      <c r="R44" s="35"/>
      <c r="S44" s="35"/>
      <c r="T44" s="35"/>
      <c r="U44" s="35"/>
      <c r="V44" s="35"/>
      <c r="W44" s="35"/>
      <c r="X44" s="35"/>
      <c r="Y44" s="35"/>
      <c r="Z44" s="35"/>
    </row>
    <row r="45" spans="1:26" ht="19.5" customHeight="1" x14ac:dyDescent="0.25">
      <c r="A45" s="24"/>
      <c r="B45" s="21"/>
      <c r="C45" s="101"/>
      <c r="D45" s="102"/>
      <c r="E45" s="94"/>
      <c r="F45" s="95"/>
      <c r="G45" s="95"/>
      <c r="H45" s="96"/>
      <c r="I45" s="20"/>
      <c r="J45" s="101"/>
      <c r="K45" s="102"/>
      <c r="L45" s="119"/>
      <c r="M45" s="120"/>
      <c r="N45" s="120"/>
      <c r="O45" s="121"/>
      <c r="P45" s="22"/>
      <c r="Q45" s="35"/>
      <c r="R45" s="35"/>
      <c r="S45" s="35"/>
      <c r="T45" s="35"/>
      <c r="U45" s="35"/>
      <c r="V45" s="35"/>
      <c r="W45" s="35"/>
      <c r="X45" s="35"/>
      <c r="Y45" s="35"/>
      <c r="Z45" s="35"/>
    </row>
    <row r="46" spans="1:26" ht="19.5" customHeight="1" x14ac:dyDescent="0.25">
      <c r="A46" s="24"/>
      <c r="B46" s="14"/>
      <c r="C46" s="45"/>
      <c r="D46" s="45"/>
      <c r="E46" s="45"/>
      <c r="F46" s="45"/>
      <c r="G46" s="45"/>
      <c r="H46" s="45"/>
      <c r="I46" s="45"/>
      <c r="J46" s="45"/>
      <c r="K46" s="45"/>
      <c r="L46" s="45"/>
      <c r="M46" s="45"/>
      <c r="N46" s="45"/>
      <c r="O46" s="45"/>
      <c r="P46" s="15"/>
      <c r="Q46" s="35"/>
      <c r="R46" s="35"/>
      <c r="S46" s="35"/>
      <c r="T46" s="35"/>
      <c r="U46" s="35"/>
      <c r="V46" s="35"/>
      <c r="W46" s="35"/>
      <c r="X46" s="35"/>
      <c r="Y46" s="35"/>
      <c r="Z46" s="35"/>
    </row>
    <row r="47" spans="1:26" ht="19.5" customHeight="1" x14ac:dyDescent="0.25">
      <c r="A47" s="24"/>
      <c r="B47" s="24"/>
      <c r="C47" s="24"/>
      <c r="D47" s="24"/>
      <c r="E47" s="24"/>
      <c r="F47" s="24"/>
      <c r="G47" s="24"/>
      <c r="H47" s="24"/>
      <c r="I47" s="24"/>
      <c r="J47" s="24"/>
      <c r="K47" s="24"/>
      <c r="L47" s="24"/>
      <c r="M47" s="24"/>
      <c r="N47" s="24"/>
      <c r="O47" s="24"/>
      <c r="P47" s="24"/>
      <c r="Q47" s="35"/>
      <c r="R47" s="35"/>
      <c r="S47" s="35"/>
      <c r="T47" s="35"/>
      <c r="U47" s="35"/>
      <c r="V47" s="35"/>
      <c r="W47" s="35"/>
      <c r="X47" s="35"/>
      <c r="Y47" s="35"/>
      <c r="Z47" s="35"/>
    </row>
    <row r="48" spans="1:26" ht="19.5" customHeight="1" x14ac:dyDescent="0.4">
      <c r="A48" s="23"/>
      <c r="B48" s="83" t="s">
        <v>31</v>
      </c>
      <c r="C48" s="84"/>
      <c r="D48" s="84"/>
      <c r="E48" s="84"/>
      <c r="F48" s="84"/>
      <c r="G48" s="84"/>
      <c r="H48" s="84"/>
      <c r="I48" s="84"/>
      <c r="J48" s="84"/>
      <c r="K48" s="84"/>
      <c r="L48" s="84"/>
      <c r="M48" s="84"/>
      <c r="N48" s="84"/>
      <c r="O48" s="84"/>
      <c r="P48" s="85"/>
      <c r="Q48" s="35"/>
      <c r="R48" s="35"/>
      <c r="S48" s="35"/>
      <c r="T48" s="35"/>
      <c r="U48" s="35"/>
      <c r="V48" s="35"/>
      <c r="W48" s="35"/>
      <c r="X48" s="35"/>
      <c r="Y48" s="35"/>
      <c r="Z48" s="35"/>
    </row>
    <row r="49" spans="1:16" ht="19.5" customHeight="1" x14ac:dyDescent="0.25">
      <c r="A49" s="23"/>
      <c r="B49" s="23"/>
      <c r="C49" s="24"/>
      <c r="D49" s="24"/>
      <c r="E49" s="24"/>
      <c r="F49" s="24"/>
      <c r="G49" s="24"/>
      <c r="H49" s="24"/>
      <c r="I49" s="24"/>
      <c r="J49" s="24"/>
      <c r="K49" s="24"/>
      <c r="L49" s="24"/>
      <c r="M49" s="24"/>
      <c r="N49" s="24"/>
      <c r="O49" s="24"/>
      <c r="P49" s="23"/>
    </row>
    <row r="50" spans="1:16" ht="19.5" customHeight="1" x14ac:dyDescent="0.25">
      <c r="A50" s="23"/>
      <c r="B50" s="48"/>
      <c r="C50" s="25"/>
      <c r="D50" s="25"/>
      <c r="E50" s="25"/>
      <c r="F50" s="26"/>
      <c r="G50" s="26"/>
      <c r="H50" s="26"/>
      <c r="I50" s="26"/>
      <c r="J50" s="26"/>
      <c r="K50" s="26"/>
      <c r="L50" s="26"/>
      <c r="M50" s="26"/>
      <c r="N50" s="26"/>
      <c r="O50" s="26"/>
      <c r="P50" s="49"/>
    </row>
    <row r="51" spans="1:16" ht="19.5" customHeight="1" x14ac:dyDescent="0.3">
      <c r="A51" s="23"/>
      <c r="B51" s="28"/>
      <c r="C51" s="33" t="s">
        <v>1</v>
      </c>
      <c r="D51" s="20"/>
      <c r="E51" s="79" t="s">
        <v>32</v>
      </c>
      <c r="F51" s="80"/>
      <c r="G51" s="20"/>
      <c r="H51" s="79" t="s">
        <v>11</v>
      </c>
      <c r="I51" s="80"/>
      <c r="J51" s="27"/>
      <c r="K51" s="27"/>
      <c r="L51" s="27"/>
      <c r="M51" s="27"/>
      <c r="N51" s="27"/>
      <c r="O51" s="27"/>
      <c r="P51" s="29"/>
    </row>
    <row r="52" spans="1:16" ht="19.5" customHeight="1" x14ac:dyDescent="0.3">
      <c r="A52" s="23"/>
      <c r="B52" s="28"/>
      <c r="C52" s="34" t="s">
        <v>23</v>
      </c>
      <c r="D52" s="20"/>
      <c r="E52" s="81" t="str">
        <f>VLOOKUP(C52,'Formato descripción HU'!B$1:O68,5,0)</f>
        <v>Administradores</v>
      </c>
      <c r="F52" s="82"/>
      <c r="G52" s="20"/>
      <c r="H52" s="86" t="str">
        <f>VLOOKUP(C52,'Formato descripción HU'!B$1:O68,11,0)</f>
        <v>Terminado</v>
      </c>
      <c r="I52" s="87"/>
      <c r="J52" s="20"/>
      <c r="K52" s="27"/>
      <c r="L52" s="27"/>
      <c r="M52" s="27"/>
      <c r="N52" s="27"/>
      <c r="O52" s="27"/>
      <c r="P52" s="29"/>
    </row>
    <row r="53" spans="1:16" ht="19.5" customHeight="1" x14ac:dyDescent="0.25">
      <c r="A53" s="23"/>
      <c r="B53" s="28"/>
      <c r="C53" s="20"/>
      <c r="D53" s="20"/>
      <c r="E53" s="20"/>
      <c r="F53" s="20"/>
      <c r="G53" s="20"/>
      <c r="H53" s="20"/>
      <c r="I53" s="20"/>
      <c r="J53" s="20"/>
      <c r="K53" s="20"/>
      <c r="L53" s="20"/>
      <c r="M53" s="27"/>
      <c r="N53" s="20"/>
      <c r="O53" s="20"/>
      <c r="P53" s="29"/>
    </row>
    <row r="54" spans="1:16" ht="19.5" customHeight="1" x14ac:dyDescent="0.3">
      <c r="A54" s="23"/>
      <c r="B54" s="28"/>
      <c r="C54" s="33" t="s">
        <v>33</v>
      </c>
      <c r="D54" s="20"/>
      <c r="E54" s="79" t="s">
        <v>10</v>
      </c>
      <c r="F54" s="80"/>
      <c r="G54" s="20"/>
      <c r="H54" s="79" t="s">
        <v>34</v>
      </c>
      <c r="I54" s="80"/>
      <c r="J54" s="20"/>
      <c r="K54" s="20"/>
      <c r="L54" s="20"/>
      <c r="M54" s="27"/>
      <c r="N54" s="20"/>
      <c r="O54" s="20"/>
      <c r="P54" s="29"/>
    </row>
    <row r="55" spans="1:16" ht="15.75" customHeight="1" x14ac:dyDescent="0.3">
      <c r="A55" s="23"/>
      <c r="B55" s="28"/>
      <c r="C55" s="34">
        <f>VLOOKUP('Historia de Usuario'!C52,'Formato descripción HU'!B$1:O68,8,0)</f>
        <v>10</v>
      </c>
      <c r="D55" s="20"/>
      <c r="E55" s="81" t="str">
        <f>VLOOKUP(C52,'Formato descripción HU'!B$1:O68,10,0)</f>
        <v>Baja</v>
      </c>
      <c r="F55" s="82"/>
      <c r="G55" s="20"/>
      <c r="H55" s="81" t="str">
        <f>VLOOKUP(C52,'Formato descripción HU'!B$1:O68,7,0)</f>
        <v>Kelly Montalvo</v>
      </c>
      <c r="I55" s="82"/>
      <c r="J55" s="20"/>
      <c r="K55" s="20"/>
      <c r="L55" s="20"/>
      <c r="M55" s="27"/>
      <c r="N55" s="20"/>
      <c r="O55" s="20"/>
      <c r="P55" s="29"/>
    </row>
    <row r="56" spans="1:16" ht="15.75" customHeight="1" x14ac:dyDescent="0.25">
      <c r="A56" s="23"/>
      <c r="B56" s="28"/>
      <c r="C56" s="27"/>
      <c r="D56" s="20"/>
      <c r="E56" s="27"/>
      <c r="F56" s="27"/>
      <c r="G56" s="20"/>
      <c r="H56" s="20"/>
      <c r="I56" s="27"/>
      <c r="J56" s="27"/>
      <c r="K56" s="27"/>
      <c r="L56" s="27"/>
      <c r="M56" s="27"/>
      <c r="N56" s="27"/>
      <c r="O56" s="27"/>
      <c r="P56" s="29"/>
    </row>
    <row r="57" spans="1:16" ht="15.75" customHeight="1" x14ac:dyDescent="0.25">
      <c r="A57" s="23"/>
      <c r="B57" s="28"/>
      <c r="C57" s="192" t="s">
        <v>35</v>
      </c>
      <c r="D57" s="113" t="str">
        <f>VLOOKUP(C52,'Formato descripción HU'!B$1:O68,3,0)</f>
        <v>El programa deberá registrar las fechas de caducidad y niveles mínimos de stock para cada medicina, y que le alerte cuando un producto esté por vencer o tenga inventario bajo.</v>
      </c>
      <c r="E57" s="115"/>
      <c r="F57" s="27"/>
      <c r="G57" s="192" t="s">
        <v>36</v>
      </c>
      <c r="H57" s="154" t="str">
        <f>VLOOKUP(C52,'Formato descripción HU'!B$1:O68,4,0)</f>
        <v>Para evitar pérdidas por productos vencidos, asegurar la disponibilidad adecuada de medicamentos y mejorar la gestión del inventario.</v>
      </c>
      <c r="I57" s="155"/>
      <c r="J57" s="156"/>
      <c r="K57" s="27"/>
      <c r="L57" s="192" t="s">
        <v>37</v>
      </c>
      <c r="M57" s="195" t="str">
        <f>VLOOKUP(C52,'Formato descripción HU'!B$1:O68,6,0)</f>
        <v>Mediante un proceso de registro y seguimiento que permita al administrador ingresar y modificar la fecha de caducidad y el stock mínimo de cada medicina. La aplicación comparará estos datos con la información actual del inventario para identificar productos que estén próximos a vencer (por ejemplo, dentro de 30 días) o que presenten existencias por debajo del nivel permitido. Cuando se detecte alguna de estas situaciones, se generarán alertas visuales o mensajes que informen al administrador, facilitando la toma de decisiones y la gestión oportuna de los medicamentos.</v>
      </c>
      <c r="N57" s="196"/>
      <c r="O57" s="197"/>
      <c r="P57" s="29"/>
    </row>
    <row r="58" spans="1:16" ht="15.75" customHeight="1" x14ac:dyDescent="0.25">
      <c r="A58" s="23"/>
      <c r="B58" s="28"/>
      <c r="C58" s="193"/>
      <c r="D58" s="116"/>
      <c r="E58" s="118"/>
      <c r="F58" s="27"/>
      <c r="G58" s="193"/>
      <c r="H58" s="157"/>
      <c r="I58" s="158"/>
      <c r="J58" s="159"/>
      <c r="K58" s="27"/>
      <c r="L58" s="193"/>
      <c r="M58" s="198"/>
      <c r="N58" s="199"/>
      <c r="O58" s="200"/>
      <c r="P58" s="29"/>
    </row>
    <row r="59" spans="1:16" ht="15.75" customHeight="1" x14ac:dyDescent="0.25">
      <c r="A59" s="23"/>
      <c r="B59" s="28"/>
      <c r="C59" s="194"/>
      <c r="D59" s="119"/>
      <c r="E59" s="121"/>
      <c r="F59" s="27"/>
      <c r="G59" s="194"/>
      <c r="H59" s="160"/>
      <c r="I59" s="161"/>
      <c r="J59" s="162"/>
      <c r="K59" s="27"/>
      <c r="L59" s="194"/>
      <c r="M59" s="201"/>
      <c r="N59" s="202"/>
      <c r="O59" s="203"/>
      <c r="P59" s="29"/>
    </row>
    <row r="60" spans="1:16" ht="15.75" customHeight="1" x14ac:dyDescent="0.25">
      <c r="A60" s="23"/>
      <c r="B60" s="28"/>
      <c r="C60" s="27"/>
      <c r="D60" s="27"/>
      <c r="E60" s="27"/>
      <c r="F60" s="27"/>
      <c r="G60" s="20"/>
      <c r="H60" s="20"/>
      <c r="I60" s="20"/>
      <c r="J60" s="27"/>
      <c r="K60" s="27"/>
      <c r="L60" s="27"/>
      <c r="M60" s="27"/>
      <c r="N60" s="27"/>
      <c r="O60" s="27"/>
      <c r="P60" s="29"/>
    </row>
    <row r="61" spans="1:16" ht="15.75" customHeight="1" x14ac:dyDescent="0.25">
      <c r="A61" s="23"/>
      <c r="B61" s="28"/>
      <c r="C61" s="188" t="s">
        <v>38</v>
      </c>
      <c r="D61" s="189"/>
      <c r="E61" s="148" t="str">
        <f>VLOOKUP(C52,'Formato descripción HU'!B$1:O68,14,0)</f>
        <v>Control de caducidad y alertas de stock bajo</v>
      </c>
      <c r="F61" s="149"/>
      <c r="G61" s="149"/>
      <c r="H61" s="149"/>
      <c r="I61" s="149"/>
      <c r="J61" s="149"/>
      <c r="K61" s="149"/>
      <c r="L61" s="149"/>
      <c r="M61" s="149"/>
      <c r="N61" s="149"/>
      <c r="O61" s="150"/>
      <c r="P61" s="29"/>
    </row>
    <row r="62" spans="1:16" ht="15.75" customHeight="1" x14ac:dyDescent="0.25">
      <c r="A62" s="23"/>
      <c r="B62" s="28"/>
      <c r="C62" s="190"/>
      <c r="D62" s="191"/>
      <c r="E62" s="151"/>
      <c r="F62" s="152"/>
      <c r="G62" s="152"/>
      <c r="H62" s="152"/>
      <c r="I62" s="152"/>
      <c r="J62" s="152"/>
      <c r="K62" s="152"/>
      <c r="L62" s="152"/>
      <c r="M62" s="152"/>
      <c r="N62" s="152"/>
      <c r="O62" s="153"/>
      <c r="P62" s="29"/>
    </row>
    <row r="63" spans="1:16" ht="15.75" customHeight="1" x14ac:dyDescent="0.25">
      <c r="A63" s="23"/>
      <c r="B63" s="28"/>
      <c r="C63" s="27"/>
      <c r="D63" s="27"/>
      <c r="E63" s="27"/>
      <c r="F63" s="27"/>
      <c r="G63" s="27"/>
      <c r="H63" s="27"/>
      <c r="I63" s="27"/>
      <c r="J63" s="27"/>
      <c r="K63" s="27"/>
      <c r="L63" s="27"/>
      <c r="M63" s="27"/>
      <c r="N63" s="27"/>
      <c r="O63" s="27"/>
      <c r="P63" s="29"/>
    </row>
    <row r="64" spans="1:16" ht="15.75" customHeight="1" x14ac:dyDescent="0.25">
      <c r="A64" s="23"/>
      <c r="B64" s="28"/>
      <c r="C64" s="164" t="s">
        <v>39</v>
      </c>
      <c r="D64" s="165"/>
      <c r="E64" s="170" t="str">
        <f>VLOOKUP(C52,'Formato descripción HU'!B$1:O68,12,0)</f>
        <v>La verificación del requisito se realizará registrando productos en el sistema con fechas de caducidad próximas y niveles de stock inferiores al mínimo establecido. Se comprobará que el sistema muestre correctamente las alertas visuales o mensajes correspondientes para cada caso. También se evaluará que, al actualizar la fecha de caducidad o la cantidad disponible, las alertas se ajusten automáticamente según los nuevos valores. Finalmente, se validará con el administrador que las alertas cumplen con los requerimientos funcionales y permiten gestionar los productos de forma oportuna.</v>
      </c>
      <c r="F64" s="171"/>
      <c r="G64" s="171"/>
      <c r="H64" s="172"/>
      <c r="I64" s="27"/>
      <c r="J64" s="164" t="s">
        <v>13</v>
      </c>
      <c r="K64" s="165"/>
      <c r="L64" s="179">
        <f>VLOOKUP(C52,'Formato descripción HU'!B$1:O68,13,0)</f>
        <v>0</v>
      </c>
      <c r="M64" s="180"/>
      <c r="N64" s="180"/>
      <c r="O64" s="181"/>
      <c r="P64" s="29"/>
    </row>
    <row r="65" spans="1:26" ht="15.75" customHeight="1" x14ac:dyDescent="0.25">
      <c r="A65" s="23"/>
      <c r="B65" s="28"/>
      <c r="C65" s="166"/>
      <c r="D65" s="167"/>
      <c r="E65" s="173"/>
      <c r="F65" s="174"/>
      <c r="G65" s="174"/>
      <c r="H65" s="175"/>
      <c r="I65" s="27"/>
      <c r="J65" s="166"/>
      <c r="K65" s="167"/>
      <c r="L65" s="182"/>
      <c r="M65" s="183"/>
      <c r="N65" s="183"/>
      <c r="O65" s="184"/>
      <c r="P65" s="29"/>
      <c r="Q65" s="35"/>
      <c r="R65" s="35"/>
      <c r="S65" s="35"/>
      <c r="T65" s="35"/>
      <c r="U65" s="35"/>
      <c r="V65" s="35"/>
      <c r="W65" s="35"/>
      <c r="X65" s="35"/>
      <c r="Y65" s="35"/>
      <c r="Z65" s="35"/>
    </row>
    <row r="66" spans="1:26" ht="15.75" customHeight="1" x14ac:dyDescent="0.25">
      <c r="A66" s="23"/>
      <c r="B66" s="28"/>
      <c r="C66" s="168"/>
      <c r="D66" s="169"/>
      <c r="E66" s="176"/>
      <c r="F66" s="177"/>
      <c r="G66" s="177"/>
      <c r="H66" s="178"/>
      <c r="I66" s="27"/>
      <c r="J66" s="168"/>
      <c r="K66" s="169"/>
      <c r="L66" s="185"/>
      <c r="M66" s="186"/>
      <c r="N66" s="186"/>
      <c r="O66" s="187"/>
      <c r="P66" s="29"/>
      <c r="Q66" s="35"/>
      <c r="R66" s="35"/>
      <c r="S66" s="35"/>
      <c r="T66" s="35"/>
      <c r="U66" s="35"/>
      <c r="V66" s="35"/>
      <c r="W66" s="35"/>
      <c r="X66" s="35"/>
      <c r="Y66" s="35"/>
      <c r="Z66" s="35"/>
    </row>
    <row r="67" spans="1:26" ht="15.75" customHeight="1" x14ac:dyDescent="0.25">
      <c r="A67" s="23"/>
      <c r="B67" s="30"/>
      <c r="C67" s="31"/>
      <c r="D67" s="31"/>
      <c r="E67" s="31"/>
      <c r="F67" s="31"/>
      <c r="G67" s="31"/>
      <c r="H67" s="31"/>
      <c r="I67" s="31"/>
      <c r="J67" s="31"/>
      <c r="K67" s="31"/>
      <c r="L67" s="31"/>
      <c r="M67" s="31"/>
      <c r="N67" s="31"/>
      <c r="O67" s="31"/>
      <c r="P67" s="32"/>
      <c r="Q67" s="35"/>
      <c r="R67" s="35"/>
      <c r="S67" s="35"/>
      <c r="T67" s="35"/>
      <c r="U67" s="35"/>
      <c r="V67" s="35"/>
      <c r="W67" s="35"/>
      <c r="X67" s="35"/>
      <c r="Y67" s="35"/>
      <c r="Z67" s="35"/>
    </row>
    <row r="68" spans="1:26" ht="15.75" customHeight="1" x14ac:dyDescent="0.25">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spans="1:26" ht="9.75" customHeight="1" x14ac:dyDescent="0.4">
      <c r="A69" s="23"/>
      <c r="B69" s="163"/>
      <c r="C69" s="163"/>
      <c r="D69" s="163"/>
      <c r="E69" s="163"/>
      <c r="F69" s="163"/>
      <c r="G69" s="163"/>
      <c r="H69" s="163"/>
      <c r="I69" s="163"/>
      <c r="J69" s="163"/>
      <c r="K69" s="163"/>
      <c r="L69" s="163"/>
      <c r="M69" s="163"/>
      <c r="N69" s="163"/>
      <c r="O69" s="163"/>
      <c r="P69" s="163"/>
      <c r="Q69" s="35"/>
      <c r="R69" s="35"/>
      <c r="S69" s="35"/>
      <c r="T69" s="35"/>
      <c r="U69" s="35"/>
      <c r="V69" s="35"/>
      <c r="W69" s="35"/>
      <c r="X69" s="35"/>
      <c r="Y69" s="35"/>
      <c r="Z69" s="35"/>
    </row>
    <row r="70" spans="1:26" ht="15.75" customHeight="1" x14ac:dyDescent="0.25">
      <c r="A70" s="23"/>
      <c r="B70" s="61"/>
      <c r="C70" s="61"/>
      <c r="D70" s="61"/>
      <c r="E70" s="61"/>
      <c r="F70" s="61"/>
      <c r="G70" s="61"/>
      <c r="H70" s="61"/>
      <c r="I70" s="61"/>
      <c r="J70" s="61"/>
      <c r="K70" s="61"/>
      <c r="L70" s="61"/>
      <c r="M70" s="61"/>
      <c r="N70" s="61"/>
      <c r="O70" s="61"/>
      <c r="P70" s="61"/>
      <c r="Q70" s="35"/>
      <c r="R70" s="35"/>
      <c r="S70" s="35"/>
      <c r="T70" s="35"/>
      <c r="U70" s="35"/>
      <c r="V70" s="35"/>
      <c r="W70" s="35"/>
      <c r="X70" s="35"/>
      <c r="Y70" s="35"/>
      <c r="Z70" s="35"/>
    </row>
    <row r="71" spans="1:26" ht="21" x14ac:dyDescent="0.4">
      <c r="A71" s="60"/>
      <c r="B71" s="55"/>
      <c r="C71" s="55"/>
      <c r="D71" s="55"/>
      <c r="E71" s="55"/>
      <c r="F71" s="55"/>
      <c r="G71" s="55"/>
      <c r="H71" s="55"/>
      <c r="I71" s="55"/>
      <c r="J71" s="55"/>
      <c r="K71" s="55"/>
      <c r="L71" s="55"/>
      <c r="M71" s="55"/>
      <c r="N71" s="55"/>
      <c r="O71" s="55"/>
      <c r="P71" s="55"/>
      <c r="Q71" s="61"/>
      <c r="R71" s="35"/>
      <c r="S71" s="35"/>
      <c r="T71" s="35"/>
      <c r="U71" s="35"/>
      <c r="V71" s="35"/>
      <c r="W71" s="35"/>
      <c r="X71" s="35"/>
      <c r="Y71" s="35"/>
      <c r="Z71" s="35"/>
    </row>
    <row r="72" spans="1:26" ht="15.75" customHeight="1" x14ac:dyDescent="0.25">
      <c r="A72" s="60"/>
      <c r="B72" s="50"/>
      <c r="C72" s="50"/>
      <c r="D72" s="50"/>
      <c r="E72" s="50"/>
      <c r="F72" s="50"/>
      <c r="G72" s="50"/>
      <c r="H72" s="50"/>
      <c r="I72" s="50"/>
      <c r="J72" s="50"/>
      <c r="K72" s="50"/>
      <c r="L72" s="50"/>
      <c r="M72" s="50"/>
      <c r="N72" s="50"/>
      <c r="O72" s="50"/>
      <c r="P72" s="50"/>
      <c r="Q72" s="61"/>
      <c r="R72" s="35"/>
      <c r="S72" s="35"/>
      <c r="T72" s="35"/>
      <c r="U72" s="35"/>
      <c r="V72" s="35"/>
      <c r="W72" s="35"/>
      <c r="X72" s="35"/>
      <c r="Y72" s="35"/>
      <c r="Z72" s="35"/>
    </row>
    <row r="73" spans="1:26" ht="15.75" customHeight="1" x14ac:dyDescent="0.25">
      <c r="A73" s="60"/>
      <c r="B73" s="50"/>
      <c r="C73" s="50"/>
      <c r="D73" s="50"/>
      <c r="E73" s="50"/>
      <c r="F73" s="50"/>
      <c r="G73" s="50"/>
      <c r="H73" s="50"/>
      <c r="I73" s="50"/>
      <c r="J73" s="50"/>
      <c r="K73" s="50"/>
      <c r="L73" s="50"/>
      <c r="M73" s="50"/>
      <c r="N73" s="50"/>
      <c r="O73" s="50"/>
      <c r="P73" s="50"/>
      <c r="Q73" s="61"/>
      <c r="R73" s="35"/>
      <c r="S73" s="35"/>
      <c r="T73" s="35"/>
      <c r="U73" s="35"/>
      <c r="V73" s="35"/>
      <c r="W73" s="35"/>
      <c r="X73" s="35"/>
      <c r="Y73" s="35"/>
      <c r="Z73" s="35"/>
    </row>
    <row r="74" spans="1:26" ht="15.75" customHeight="1" x14ac:dyDescent="0.3">
      <c r="A74" s="60"/>
      <c r="B74" s="50"/>
      <c r="C74" s="56"/>
      <c r="D74" s="50"/>
      <c r="E74" s="56"/>
      <c r="F74" s="56"/>
      <c r="G74" s="50"/>
      <c r="H74" s="56"/>
      <c r="I74" s="56"/>
      <c r="J74" s="50"/>
      <c r="K74" s="50"/>
      <c r="L74" s="50"/>
      <c r="M74" s="50"/>
      <c r="N74" s="50"/>
      <c r="O74" s="50"/>
      <c r="P74" s="50"/>
      <c r="Q74" s="61"/>
      <c r="R74" s="35"/>
      <c r="S74" s="35"/>
      <c r="T74" s="35"/>
      <c r="U74" s="35"/>
      <c r="V74" s="35"/>
      <c r="W74" s="35"/>
      <c r="X74" s="35"/>
      <c r="Y74" s="35"/>
      <c r="Z74" s="35"/>
    </row>
    <row r="75" spans="1:26" ht="15.75" customHeight="1" x14ac:dyDescent="0.3">
      <c r="A75" s="60"/>
      <c r="B75" s="50"/>
      <c r="C75" s="57"/>
      <c r="D75" s="50"/>
      <c r="E75" s="58"/>
      <c r="F75" s="58"/>
      <c r="G75" s="50"/>
      <c r="H75" s="58"/>
      <c r="I75" s="58"/>
      <c r="J75" s="50"/>
      <c r="K75" s="50"/>
      <c r="L75" s="50"/>
      <c r="M75" s="50"/>
      <c r="N75" s="50"/>
      <c r="O75" s="50"/>
      <c r="P75" s="50"/>
      <c r="Q75" s="61"/>
      <c r="R75" s="35"/>
      <c r="S75" s="35"/>
      <c r="T75" s="35"/>
      <c r="U75" s="35"/>
      <c r="V75" s="35"/>
      <c r="W75" s="35"/>
      <c r="X75" s="35"/>
      <c r="Y75" s="35"/>
      <c r="Z75" s="35"/>
    </row>
    <row r="76" spans="1:26" ht="15.75" customHeight="1" x14ac:dyDescent="0.25">
      <c r="A76" s="60"/>
      <c r="B76" s="50"/>
      <c r="C76" s="50"/>
      <c r="D76" s="50"/>
      <c r="E76" s="50"/>
      <c r="F76" s="50"/>
      <c r="G76" s="50"/>
      <c r="H76" s="50"/>
      <c r="I76" s="50"/>
      <c r="J76" s="50"/>
      <c r="K76" s="50"/>
      <c r="L76" s="50"/>
      <c r="M76" s="50"/>
      <c r="N76" s="50"/>
      <c r="O76" s="50"/>
      <c r="P76" s="50"/>
      <c r="Q76" s="61"/>
      <c r="R76" s="35"/>
      <c r="S76" s="35"/>
      <c r="T76" s="35"/>
      <c r="U76" s="35"/>
      <c r="V76" s="35"/>
      <c r="W76" s="35"/>
      <c r="X76" s="35"/>
      <c r="Y76" s="35"/>
      <c r="Z76" s="35"/>
    </row>
    <row r="77" spans="1:26" ht="15.75" customHeight="1" x14ac:dyDescent="0.3">
      <c r="A77" s="60"/>
      <c r="B77" s="50"/>
      <c r="C77" s="56"/>
      <c r="D77" s="50"/>
      <c r="E77" s="56"/>
      <c r="F77" s="56"/>
      <c r="G77" s="50"/>
      <c r="H77" s="56"/>
      <c r="I77" s="56"/>
      <c r="J77" s="50"/>
      <c r="K77" s="50"/>
      <c r="L77" s="50"/>
      <c r="M77" s="50"/>
      <c r="N77" s="50"/>
      <c r="O77" s="50"/>
      <c r="P77" s="50"/>
      <c r="Q77" s="61"/>
      <c r="R77" s="35"/>
      <c r="S77" s="35"/>
      <c r="T77" s="35"/>
      <c r="U77" s="35"/>
      <c r="V77" s="35"/>
      <c r="W77" s="35"/>
      <c r="X77" s="35"/>
      <c r="Y77" s="35"/>
      <c r="Z77" s="35"/>
    </row>
    <row r="78" spans="1:26" ht="15.75" customHeight="1" x14ac:dyDescent="0.3">
      <c r="A78" s="60"/>
      <c r="B78" s="50"/>
      <c r="C78" s="57"/>
      <c r="D78" s="50"/>
      <c r="E78" s="58"/>
      <c r="F78" s="58"/>
      <c r="G78" s="50"/>
      <c r="H78" s="58"/>
      <c r="I78" s="58"/>
      <c r="J78" s="50"/>
      <c r="K78" s="50"/>
      <c r="L78" s="50"/>
      <c r="M78" s="50"/>
      <c r="N78" s="50"/>
      <c r="O78" s="50"/>
      <c r="P78" s="50"/>
      <c r="Q78" s="61"/>
      <c r="R78" s="35"/>
      <c r="S78" s="35"/>
      <c r="T78" s="35"/>
      <c r="U78" s="35"/>
      <c r="V78" s="35"/>
      <c r="W78" s="35"/>
      <c r="X78" s="35"/>
      <c r="Y78" s="35"/>
      <c r="Z78" s="35"/>
    </row>
    <row r="79" spans="1:26" ht="15.75" customHeight="1" x14ac:dyDescent="0.25">
      <c r="A79" s="60"/>
      <c r="B79" s="50"/>
      <c r="C79" s="50"/>
      <c r="D79" s="50"/>
      <c r="E79" s="50"/>
      <c r="F79" s="50"/>
      <c r="G79" s="50"/>
      <c r="H79" s="50"/>
      <c r="I79" s="50"/>
      <c r="J79" s="50"/>
      <c r="K79" s="50"/>
      <c r="L79" s="50"/>
      <c r="M79" s="50"/>
      <c r="N79" s="50"/>
      <c r="O79" s="50"/>
      <c r="P79" s="50"/>
      <c r="Q79" s="61"/>
      <c r="R79" s="35"/>
      <c r="S79" s="35"/>
      <c r="T79" s="35"/>
      <c r="U79" s="35"/>
      <c r="V79" s="35"/>
      <c r="W79" s="35"/>
      <c r="X79" s="35"/>
      <c r="Y79" s="35"/>
      <c r="Z79" s="35"/>
    </row>
    <row r="80" spans="1:26" ht="15.75" customHeight="1" x14ac:dyDescent="0.3">
      <c r="A80" s="60"/>
      <c r="B80" s="50"/>
      <c r="C80" s="56"/>
      <c r="D80" s="51"/>
      <c r="E80" s="51"/>
      <c r="F80" s="50"/>
      <c r="G80" s="56"/>
      <c r="H80" s="51"/>
      <c r="I80" s="51"/>
      <c r="J80" s="51"/>
      <c r="K80" s="50"/>
      <c r="L80" s="56"/>
      <c r="M80" s="52"/>
      <c r="N80" s="52"/>
      <c r="O80" s="52"/>
      <c r="P80" s="50"/>
      <c r="Q80" s="61"/>
      <c r="R80" s="35"/>
      <c r="S80" s="35"/>
      <c r="T80" s="35"/>
      <c r="U80" s="35"/>
      <c r="V80" s="35"/>
      <c r="W80" s="35"/>
      <c r="X80" s="35"/>
      <c r="Y80" s="35"/>
      <c r="Z80" s="35"/>
    </row>
    <row r="81" spans="1:26" ht="15.75" customHeight="1" x14ac:dyDescent="0.3">
      <c r="A81" s="60"/>
      <c r="B81" s="50"/>
      <c r="C81" s="56"/>
      <c r="D81" s="51"/>
      <c r="E81" s="51"/>
      <c r="F81" s="50"/>
      <c r="G81" s="56"/>
      <c r="H81" s="51"/>
      <c r="I81" s="51"/>
      <c r="J81" s="51"/>
      <c r="K81" s="50"/>
      <c r="L81" s="56"/>
      <c r="M81" s="52"/>
      <c r="N81" s="52"/>
      <c r="O81" s="52"/>
      <c r="P81" s="50"/>
      <c r="Q81" s="61"/>
      <c r="R81" s="35"/>
      <c r="S81" s="35"/>
      <c r="T81" s="35"/>
      <c r="U81" s="35"/>
      <c r="V81" s="35"/>
      <c r="W81" s="35"/>
      <c r="X81" s="35"/>
      <c r="Y81" s="35"/>
      <c r="Z81" s="35"/>
    </row>
    <row r="82" spans="1:26" ht="15.75" customHeight="1" x14ac:dyDescent="0.3">
      <c r="A82" s="60"/>
      <c r="B82" s="50"/>
      <c r="C82" s="56"/>
      <c r="D82" s="51"/>
      <c r="E82" s="51"/>
      <c r="F82" s="50"/>
      <c r="G82" s="56"/>
      <c r="H82" s="51"/>
      <c r="I82" s="51"/>
      <c r="J82" s="51"/>
      <c r="K82" s="50"/>
      <c r="L82" s="56"/>
      <c r="M82" s="52"/>
      <c r="N82" s="52"/>
      <c r="O82" s="52"/>
      <c r="P82" s="50"/>
      <c r="Q82" s="61"/>
      <c r="R82" s="35"/>
      <c r="S82" s="35"/>
      <c r="T82" s="35"/>
      <c r="U82" s="35"/>
      <c r="V82" s="35"/>
      <c r="W82" s="35"/>
      <c r="X82" s="35"/>
      <c r="Y82" s="35"/>
      <c r="Z82" s="35"/>
    </row>
    <row r="83" spans="1:26" ht="15.75" customHeight="1" x14ac:dyDescent="0.25">
      <c r="A83" s="60"/>
      <c r="B83" s="50"/>
      <c r="C83" s="50"/>
      <c r="D83" s="50"/>
      <c r="E83" s="50"/>
      <c r="F83" s="50"/>
      <c r="G83" s="50"/>
      <c r="H83" s="50"/>
      <c r="I83" s="50"/>
      <c r="J83" s="50"/>
      <c r="K83" s="50"/>
      <c r="L83" s="50"/>
      <c r="M83" s="50"/>
      <c r="N83" s="50"/>
      <c r="O83" s="50"/>
      <c r="P83" s="50"/>
      <c r="Q83" s="61"/>
      <c r="R83" s="35"/>
      <c r="S83" s="35"/>
      <c r="T83" s="35"/>
      <c r="U83" s="35"/>
      <c r="V83" s="35"/>
      <c r="W83" s="35"/>
      <c r="X83" s="35"/>
      <c r="Y83" s="35"/>
      <c r="Z83" s="35"/>
    </row>
    <row r="84" spans="1:26" ht="15.75" customHeight="1" x14ac:dyDescent="0.3">
      <c r="A84" s="60"/>
      <c r="B84" s="50"/>
      <c r="C84" s="59"/>
      <c r="D84" s="59"/>
      <c r="E84" s="57"/>
      <c r="F84" s="57"/>
      <c r="G84" s="57"/>
      <c r="H84" s="57"/>
      <c r="I84" s="57"/>
      <c r="J84" s="57"/>
      <c r="K84" s="57"/>
      <c r="L84" s="57"/>
      <c r="M84" s="57"/>
      <c r="N84" s="57"/>
      <c r="O84" s="57"/>
      <c r="P84" s="50"/>
      <c r="Q84" s="61"/>
      <c r="R84" s="35"/>
      <c r="S84" s="35"/>
      <c r="T84" s="35"/>
      <c r="U84" s="35"/>
      <c r="V84" s="35"/>
      <c r="W84" s="35"/>
      <c r="X84" s="35"/>
      <c r="Y84" s="35"/>
      <c r="Z84" s="35"/>
    </row>
    <row r="85" spans="1:26" ht="15.75" customHeight="1" x14ac:dyDescent="0.3">
      <c r="A85" s="60"/>
      <c r="B85" s="50"/>
      <c r="C85" s="59"/>
      <c r="D85" s="59"/>
      <c r="E85" s="57"/>
      <c r="F85" s="57"/>
      <c r="G85" s="57"/>
      <c r="H85" s="57"/>
      <c r="I85" s="57"/>
      <c r="J85" s="57"/>
      <c r="K85" s="57"/>
      <c r="L85" s="57"/>
      <c r="M85" s="57"/>
      <c r="N85" s="57"/>
      <c r="O85" s="57"/>
      <c r="P85" s="50"/>
      <c r="Q85" s="61"/>
      <c r="R85" s="35"/>
      <c r="S85" s="35"/>
      <c r="T85" s="35"/>
      <c r="U85" s="35"/>
      <c r="V85" s="35"/>
      <c r="W85" s="35"/>
      <c r="X85" s="35"/>
      <c r="Y85" s="35"/>
      <c r="Z85" s="35"/>
    </row>
    <row r="86" spans="1:26" ht="15.75" customHeight="1" x14ac:dyDescent="0.25">
      <c r="A86" s="60"/>
      <c r="B86" s="50"/>
      <c r="C86" s="50"/>
      <c r="D86" s="50"/>
      <c r="E86" s="53"/>
      <c r="F86" s="53"/>
      <c r="G86" s="53"/>
      <c r="H86" s="53"/>
      <c r="I86" s="50"/>
      <c r="J86" s="50"/>
      <c r="K86" s="50"/>
      <c r="L86" s="50"/>
      <c r="M86" s="50"/>
      <c r="N86" s="50"/>
      <c r="O86" s="50"/>
      <c r="P86" s="50"/>
      <c r="Q86" s="61"/>
      <c r="R86" s="35"/>
      <c r="S86" s="35"/>
      <c r="T86" s="35"/>
      <c r="U86" s="35"/>
      <c r="V86" s="35"/>
      <c r="W86" s="35"/>
      <c r="X86" s="35"/>
      <c r="Y86" s="35"/>
      <c r="Z86" s="35"/>
    </row>
    <row r="87" spans="1:26" ht="15.75" customHeight="1" x14ac:dyDescent="0.3">
      <c r="A87" s="60"/>
      <c r="B87" s="50"/>
      <c r="C87" s="56"/>
      <c r="D87" s="56"/>
      <c r="E87" s="54"/>
      <c r="F87" s="54"/>
      <c r="G87" s="54"/>
      <c r="H87" s="54"/>
      <c r="I87" s="50"/>
      <c r="J87" s="56"/>
      <c r="K87" s="56"/>
      <c r="L87" s="50"/>
      <c r="M87" s="50"/>
      <c r="N87" s="50"/>
      <c r="O87" s="50"/>
      <c r="P87" s="50"/>
      <c r="Q87" s="61"/>
      <c r="R87" s="35"/>
      <c r="S87" s="35"/>
      <c r="T87" s="35"/>
      <c r="U87" s="35"/>
      <c r="V87" s="35"/>
      <c r="W87" s="35"/>
      <c r="X87" s="35"/>
      <c r="Y87" s="35"/>
      <c r="Z87" s="35"/>
    </row>
    <row r="88" spans="1:26" ht="15.75" customHeight="1" x14ac:dyDescent="0.3">
      <c r="A88" s="60"/>
      <c r="B88" s="50"/>
      <c r="C88" s="56"/>
      <c r="D88" s="56"/>
      <c r="E88" s="54"/>
      <c r="F88" s="54"/>
      <c r="G88" s="54"/>
      <c r="H88" s="54"/>
      <c r="I88" s="50"/>
      <c r="J88" s="56"/>
      <c r="K88" s="56"/>
      <c r="L88" s="50"/>
      <c r="M88" s="50"/>
      <c r="N88" s="50"/>
      <c r="O88" s="50"/>
      <c r="P88" s="50"/>
      <c r="Q88" s="61"/>
      <c r="R88" s="35"/>
      <c r="S88" s="35"/>
      <c r="T88" s="35"/>
      <c r="U88" s="35"/>
      <c r="V88" s="35"/>
      <c r="W88" s="35"/>
      <c r="X88" s="35"/>
      <c r="Y88" s="35"/>
      <c r="Z88" s="35"/>
    </row>
    <row r="89" spans="1:26" ht="15.75" customHeight="1" x14ac:dyDescent="0.3">
      <c r="A89" s="60"/>
      <c r="B89" s="50"/>
      <c r="C89" s="56"/>
      <c r="D89" s="56"/>
      <c r="E89" s="54"/>
      <c r="F89" s="54"/>
      <c r="G89" s="54"/>
      <c r="H89" s="54"/>
      <c r="I89" s="50"/>
      <c r="J89" s="56"/>
      <c r="K89" s="56"/>
      <c r="L89" s="50"/>
      <c r="M89" s="50"/>
      <c r="N89" s="50"/>
      <c r="O89" s="50"/>
      <c r="P89" s="50"/>
      <c r="Q89" s="61"/>
      <c r="R89" s="35"/>
      <c r="S89" s="35"/>
      <c r="T89" s="35"/>
      <c r="U89" s="35"/>
      <c r="V89" s="35"/>
      <c r="W89" s="35"/>
      <c r="X89" s="35"/>
      <c r="Y89" s="35"/>
      <c r="Z89" s="35"/>
    </row>
    <row r="90" spans="1:26" ht="15.75" customHeight="1" x14ac:dyDescent="0.25">
      <c r="A90" s="61"/>
      <c r="B90" s="50"/>
      <c r="C90" s="50"/>
      <c r="D90" s="50"/>
      <c r="E90" s="50"/>
      <c r="F90" s="50"/>
      <c r="G90" s="50"/>
      <c r="H90" s="50"/>
      <c r="I90" s="50"/>
      <c r="J90" s="50"/>
      <c r="K90" s="50"/>
      <c r="L90" s="50"/>
      <c r="M90" s="50"/>
      <c r="N90" s="50"/>
      <c r="O90" s="50"/>
      <c r="P90" s="50"/>
      <c r="Q90" s="61"/>
      <c r="R90" s="35"/>
      <c r="S90" s="35"/>
      <c r="T90" s="35"/>
      <c r="U90" s="35"/>
      <c r="V90" s="35"/>
      <c r="W90" s="35"/>
      <c r="X90" s="35"/>
      <c r="Y90" s="35"/>
      <c r="Z90" s="35"/>
    </row>
    <row r="91" spans="1:26" ht="15.75" customHeight="1" x14ac:dyDescent="0.25">
      <c r="A91" s="61"/>
      <c r="B91" s="50"/>
      <c r="C91" s="50"/>
      <c r="D91" s="50"/>
      <c r="E91" s="50"/>
      <c r="F91" s="50"/>
      <c r="G91" s="50"/>
      <c r="H91" s="50"/>
      <c r="I91" s="50"/>
      <c r="J91" s="50"/>
      <c r="K91" s="50"/>
      <c r="L91" s="50"/>
      <c r="M91" s="50"/>
      <c r="N91" s="50"/>
      <c r="O91" s="50"/>
      <c r="P91" s="50"/>
      <c r="Q91" s="61"/>
      <c r="R91" s="35"/>
      <c r="S91" s="35"/>
      <c r="T91" s="35"/>
      <c r="U91" s="35"/>
      <c r="V91" s="35"/>
      <c r="W91" s="35"/>
      <c r="X91" s="35"/>
      <c r="Y91" s="35"/>
      <c r="Z91" s="35"/>
    </row>
    <row r="92" spans="1:26" ht="15.75" customHeight="1" x14ac:dyDescent="0.4">
      <c r="A92" s="61"/>
      <c r="B92" s="55"/>
      <c r="C92" s="55"/>
      <c r="D92" s="55"/>
      <c r="E92" s="55"/>
      <c r="F92" s="55"/>
      <c r="G92" s="55"/>
      <c r="H92" s="55"/>
      <c r="I92" s="55"/>
      <c r="J92" s="55"/>
      <c r="K92" s="55"/>
      <c r="L92" s="55"/>
      <c r="M92" s="55"/>
      <c r="N92" s="55"/>
      <c r="O92" s="55"/>
      <c r="P92" s="55"/>
      <c r="Q92" s="61"/>
      <c r="R92" s="35"/>
      <c r="S92" s="35"/>
      <c r="T92" s="35"/>
      <c r="U92" s="35"/>
      <c r="V92" s="35"/>
      <c r="W92" s="35"/>
      <c r="X92" s="35"/>
      <c r="Y92" s="35"/>
      <c r="Z92" s="35"/>
    </row>
    <row r="93" spans="1:26" ht="15.75" customHeight="1" x14ac:dyDescent="0.25">
      <c r="A93" s="35"/>
      <c r="B93" s="61"/>
      <c r="C93" s="61"/>
      <c r="D93" s="61"/>
      <c r="E93" s="61"/>
      <c r="F93" s="61"/>
      <c r="G93" s="61"/>
      <c r="H93" s="61"/>
      <c r="I93" s="61"/>
      <c r="J93" s="61"/>
      <c r="K93" s="61"/>
      <c r="L93" s="61"/>
      <c r="M93" s="61"/>
      <c r="N93" s="61"/>
      <c r="O93" s="61"/>
      <c r="P93" s="62"/>
      <c r="Q93" s="61"/>
      <c r="R93" s="35"/>
      <c r="S93" s="35"/>
      <c r="T93" s="35"/>
      <c r="U93" s="35"/>
      <c r="V93" s="35"/>
      <c r="W93" s="35"/>
      <c r="X93" s="35"/>
      <c r="Y93" s="35"/>
      <c r="Z93" s="35"/>
    </row>
    <row r="94" spans="1:26" ht="15.75" customHeight="1" x14ac:dyDescent="0.25">
      <c r="A94" s="35"/>
      <c r="B94" s="35"/>
      <c r="C94" s="35"/>
      <c r="D94" s="35"/>
      <c r="E94" s="35"/>
      <c r="F94" s="35"/>
      <c r="G94" s="35"/>
      <c r="H94" s="35"/>
      <c r="I94" s="35"/>
      <c r="J94" s="35"/>
      <c r="K94" s="35"/>
      <c r="L94" s="35"/>
      <c r="M94" s="35"/>
      <c r="N94" s="35"/>
      <c r="O94" s="35"/>
      <c r="P94" s="62"/>
      <c r="Q94" s="35"/>
      <c r="R94" s="35"/>
      <c r="S94" s="35"/>
      <c r="T94" s="35"/>
      <c r="U94" s="35"/>
      <c r="V94" s="35"/>
      <c r="W94" s="35"/>
      <c r="X94" s="35"/>
      <c r="Y94" s="35"/>
      <c r="Z94" s="35"/>
    </row>
    <row r="95" spans="1:26" ht="15.75" customHeight="1" x14ac:dyDescent="0.2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spans="1:26" ht="15.75" customHeight="1" x14ac:dyDescent="0.25">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spans="1:26" ht="15.75" customHeight="1" x14ac:dyDescent="0.25">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spans="1:26" ht="15.75" customHeight="1" x14ac:dyDescent="0.25">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spans="1:26" ht="15.75" customHeight="1" x14ac:dyDescent="0.25">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spans="1:26" ht="15.75" customHeight="1" x14ac:dyDescent="0.25">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spans="1:26" ht="15.75" customHeight="1" x14ac:dyDescent="0.25">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spans="1:26" ht="15.75" customHeight="1" x14ac:dyDescent="0.25">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spans="1:26" ht="15.75" customHeight="1" x14ac:dyDescent="0.25">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spans="1:26" ht="15.75" customHeight="1" x14ac:dyDescent="0.25">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spans="1:26" ht="15.75" customHeight="1" x14ac:dyDescent="0.2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spans="1:26" ht="15.75" customHeight="1" x14ac:dyDescent="0.25">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spans="1:26" ht="15.75" customHeight="1" x14ac:dyDescent="0.25">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spans="1:26" ht="15.75" customHeight="1" x14ac:dyDescent="0.25">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spans="1:26" ht="15.75" customHeight="1" x14ac:dyDescent="0.25">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spans="1:26" ht="15.75" customHeight="1" x14ac:dyDescent="0.25">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spans="1:26" ht="15.75" customHeight="1" x14ac:dyDescent="0.25">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spans="1:26" ht="15.75" customHeight="1" x14ac:dyDescent="0.25">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spans="1:26" ht="15.75" customHeight="1" x14ac:dyDescent="0.25">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spans="1:26" ht="15.75" customHeight="1" x14ac:dyDescent="0.25">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spans="1:26" ht="15.75" customHeight="1" x14ac:dyDescent="0.2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spans="1:26" ht="15.75" customHeight="1" x14ac:dyDescent="0.25">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spans="1:26" ht="15.75" customHeight="1" x14ac:dyDescent="0.25">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spans="1:26" ht="15.75" customHeight="1" x14ac:dyDescent="0.25">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spans="1:26" ht="15.75" customHeight="1" x14ac:dyDescent="0.25">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spans="1:26" ht="15.75" customHeight="1" x14ac:dyDescent="0.25">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spans="1:26" ht="15.75" customHeight="1" x14ac:dyDescent="0.25">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spans="1:26" ht="15.75" customHeight="1" x14ac:dyDescent="0.25">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spans="1:26" ht="15.75" customHeight="1" x14ac:dyDescent="0.25">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spans="1:26" ht="15.75" customHeight="1" x14ac:dyDescent="0.25">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spans="1:26" ht="15.75" customHeight="1" x14ac:dyDescent="0.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spans="1:26" ht="15.75" customHeight="1" x14ac:dyDescent="0.25">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spans="1:26" ht="15.75" customHeight="1" x14ac:dyDescent="0.25">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spans="1:26" ht="15.75" customHeight="1" x14ac:dyDescent="0.25">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spans="1:26" ht="15.75" customHeight="1" x14ac:dyDescent="0.25">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spans="1:26" ht="15.75" customHeight="1" x14ac:dyDescent="0.25">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spans="1:26" ht="15.75" customHeight="1" x14ac:dyDescent="0.25">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spans="1:26" ht="15.75" customHeight="1" x14ac:dyDescent="0.25">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spans="1:26" ht="15.75" customHeight="1" x14ac:dyDescent="0.25">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spans="1:26" ht="15.75" customHeight="1" x14ac:dyDescent="0.25">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spans="1:26" ht="15.75" customHeight="1" x14ac:dyDescent="0.2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spans="1:26" ht="15.75" customHeight="1" x14ac:dyDescent="0.25">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spans="1:26" ht="15.75" customHeight="1" x14ac:dyDescent="0.25">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spans="1:26" ht="15.75" customHeight="1" x14ac:dyDescent="0.25">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spans="1:26" ht="15.75" customHeight="1" x14ac:dyDescent="0.25">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spans="1:26" ht="15.75" customHeight="1" x14ac:dyDescent="0.25">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spans="1:26" ht="15.75" customHeight="1" x14ac:dyDescent="0.25">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spans="1:26" ht="15.75" customHeight="1" x14ac:dyDescent="0.25">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spans="1:26" ht="15.75" customHeight="1" x14ac:dyDescent="0.25">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spans="1:26" ht="15.75" customHeight="1" x14ac:dyDescent="0.25">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spans="1:26" ht="15.75" customHeight="1" x14ac:dyDescent="0.2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spans="1:26" ht="15.75" customHeight="1" x14ac:dyDescent="0.25">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spans="1:26" ht="15.75" customHeight="1" x14ac:dyDescent="0.25">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spans="1:26" ht="15.75" customHeight="1" x14ac:dyDescent="0.25">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spans="1:26" ht="15.75" customHeight="1" x14ac:dyDescent="0.25">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5.75" customHeight="1" x14ac:dyDescent="0.25">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spans="1:26" ht="15.75" customHeight="1" x14ac:dyDescent="0.25">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spans="1:26" ht="15.75" customHeight="1" x14ac:dyDescent="0.25">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spans="1:26" ht="15.75" customHeight="1" x14ac:dyDescent="0.25">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spans="1:26" ht="15.75" customHeight="1" x14ac:dyDescent="0.25">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spans="1:26" ht="15.75" customHeight="1" x14ac:dyDescent="0.2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spans="1:26" ht="15.75" customHeight="1" x14ac:dyDescent="0.25">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spans="1:26" ht="15.75" customHeight="1" x14ac:dyDescent="0.25">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spans="1:26" ht="15.75" customHeight="1" x14ac:dyDescent="0.25">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spans="1:26" ht="15.75" customHeight="1" x14ac:dyDescent="0.25">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spans="1:26" ht="15.75" customHeight="1" x14ac:dyDescent="0.25">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spans="1:26" ht="15.75" customHeight="1" x14ac:dyDescent="0.25">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spans="1:26" ht="15.75" customHeight="1" x14ac:dyDescent="0.25">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spans="1:26" ht="15.75" customHeight="1" x14ac:dyDescent="0.25">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spans="1:26" ht="15.75" customHeight="1" x14ac:dyDescent="0.25">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spans="1:26" ht="15.75" customHeight="1" x14ac:dyDescent="0.2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spans="1:26" ht="15.75" customHeight="1" x14ac:dyDescent="0.25">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spans="1:26" ht="15.75" customHeight="1" x14ac:dyDescent="0.25">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spans="1:26" ht="15.75" customHeight="1" x14ac:dyDescent="0.25">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spans="1:26" ht="15.75" customHeight="1" x14ac:dyDescent="0.25">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spans="1:26" ht="15.75" customHeight="1" x14ac:dyDescent="0.25">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spans="1:26" ht="15.75" customHeight="1" x14ac:dyDescent="0.25">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spans="1:26" ht="15.75" customHeight="1" x14ac:dyDescent="0.25">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spans="1:26" ht="15.75" customHeight="1" x14ac:dyDescent="0.25">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spans="1:26" ht="15.75" customHeight="1" x14ac:dyDescent="0.25">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spans="1:26" ht="15.75" customHeight="1" x14ac:dyDescent="0.2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spans="1:26" ht="15.75" customHeight="1" x14ac:dyDescent="0.25">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5.75" customHeight="1" x14ac:dyDescent="0.25">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spans="1:26" ht="15.75" customHeight="1" x14ac:dyDescent="0.25">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spans="1:26" ht="15.75" customHeight="1" x14ac:dyDescent="0.25">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spans="1:26" ht="15.75" customHeight="1" x14ac:dyDescent="0.25">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spans="1:26" ht="15.75" customHeight="1" x14ac:dyDescent="0.25">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spans="1:26" ht="15.75" customHeight="1" x14ac:dyDescent="0.25">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spans="1:26" ht="15.75" customHeight="1" x14ac:dyDescent="0.25">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spans="1:26" ht="15.75" customHeight="1" x14ac:dyDescent="0.25">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spans="1:26" ht="15.75" customHeight="1" x14ac:dyDescent="0.2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spans="1:26" ht="15.75" customHeight="1" x14ac:dyDescent="0.25">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spans="1:26" ht="15.75" customHeight="1" x14ac:dyDescent="0.25">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spans="1:26" ht="15.75" customHeight="1" x14ac:dyDescent="0.25">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spans="1:26" ht="15.75" customHeight="1" x14ac:dyDescent="0.25">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spans="1:26" ht="15.75" customHeight="1" x14ac:dyDescent="0.25">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spans="1:26" ht="15.75" customHeight="1" x14ac:dyDescent="0.25">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spans="1:26" ht="15.75" customHeight="1" x14ac:dyDescent="0.25">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spans="1:26" ht="15.75" customHeight="1" x14ac:dyDescent="0.25">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spans="1:26" ht="15.75" customHeight="1" x14ac:dyDescent="0.25">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spans="1:26" ht="15.75" customHeight="1" x14ac:dyDescent="0.2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spans="1:26" ht="15.75" customHeight="1" x14ac:dyDescent="0.25">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spans="1:26" ht="15.75" customHeight="1" x14ac:dyDescent="0.25">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spans="1:26" ht="15.75" customHeight="1" x14ac:dyDescent="0.25">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spans="1:26" ht="15.75" customHeight="1" x14ac:dyDescent="0.25">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spans="1:26" ht="15.75" customHeight="1" x14ac:dyDescent="0.25">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spans="1:26" ht="15.75" customHeight="1" x14ac:dyDescent="0.25">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spans="1:26" ht="15.75" customHeight="1" x14ac:dyDescent="0.25">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spans="1:26" ht="15.75" customHeight="1" x14ac:dyDescent="0.25">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spans="1:26" ht="15.75" customHeight="1" x14ac:dyDescent="0.25">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spans="1:26" ht="15.75" customHeight="1" x14ac:dyDescent="0.2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spans="1:26" ht="15.75" customHeight="1" x14ac:dyDescent="0.25">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spans="1:26" ht="15.75" customHeight="1" x14ac:dyDescent="0.25">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spans="1:26" ht="15.75" customHeight="1" x14ac:dyDescent="0.25">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spans="1:26" ht="15.75" customHeight="1" x14ac:dyDescent="0.25">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spans="1:26" ht="15.75" customHeight="1" x14ac:dyDescent="0.25">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spans="1:26" ht="15.75" customHeight="1" x14ac:dyDescent="0.25">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spans="1:26" ht="15.75" customHeight="1" x14ac:dyDescent="0.25">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spans="1:26" ht="15.75" customHeight="1" x14ac:dyDescent="0.25">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spans="1:26" ht="15.75" customHeight="1" x14ac:dyDescent="0.25">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spans="1:26" ht="15.75" customHeight="1" x14ac:dyDescent="0.2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spans="1:26" ht="15.75" customHeight="1" x14ac:dyDescent="0.25">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spans="1:26" ht="15.75" customHeight="1" x14ac:dyDescent="0.25">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spans="1:26" ht="15.75" customHeight="1" x14ac:dyDescent="0.25">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spans="1:26" ht="15.75" customHeight="1" x14ac:dyDescent="0.25">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spans="1:26" ht="15.75" customHeight="1" x14ac:dyDescent="0.25">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spans="1:26" ht="15.75" customHeight="1" x14ac:dyDescent="0.25">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spans="1:26" ht="15.75" customHeight="1" x14ac:dyDescent="0.25">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spans="1:26" ht="15.75" customHeight="1" x14ac:dyDescent="0.25">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spans="1:26" ht="15.75" customHeight="1" x14ac:dyDescent="0.25">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spans="1:26" ht="15.75" customHeight="1" x14ac:dyDescent="0.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spans="1:26" ht="15.75" customHeight="1" x14ac:dyDescent="0.25">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spans="1:26" ht="15.75" customHeight="1" x14ac:dyDescent="0.25">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spans="1:26" ht="15.75" customHeight="1" x14ac:dyDescent="0.25">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spans="1:26" ht="15.75" customHeight="1" x14ac:dyDescent="0.25">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spans="1:26" ht="15.75" customHeight="1" x14ac:dyDescent="0.25">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spans="1:26" ht="15.75" customHeight="1" x14ac:dyDescent="0.25">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spans="1:26" ht="15.75" customHeight="1" x14ac:dyDescent="0.25">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spans="1:26" ht="15.75" customHeight="1" x14ac:dyDescent="0.25">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spans="1:26" ht="15.75" customHeight="1" x14ac:dyDescent="0.25">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spans="1:26" ht="15.75" customHeight="1" x14ac:dyDescent="0.2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spans="1:26" ht="15.75" customHeight="1" x14ac:dyDescent="0.25">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spans="1:26" ht="15.75" customHeight="1" x14ac:dyDescent="0.25">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spans="1:26" ht="15.75" customHeight="1" x14ac:dyDescent="0.25">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spans="1:26" ht="15.75" customHeight="1" x14ac:dyDescent="0.25">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spans="1:26" ht="15.75" customHeight="1" x14ac:dyDescent="0.25">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spans="1:26" ht="15.75" customHeight="1" x14ac:dyDescent="0.25">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spans="1:26" ht="15.75" customHeight="1" x14ac:dyDescent="0.25">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spans="1:26" ht="15.75" customHeight="1" x14ac:dyDescent="0.25">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spans="1:26" ht="15.75" customHeight="1" x14ac:dyDescent="0.25">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spans="1:26" ht="15.75" customHeight="1" x14ac:dyDescent="0.2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spans="1:26" ht="15.75" customHeight="1" x14ac:dyDescent="0.25">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spans="1:26" ht="15.75" customHeight="1" x14ac:dyDescent="0.25">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spans="1:26" ht="15.75" customHeight="1" x14ac:dyDescent="0.25">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spans="1:26" ht="15.75" customHeight="1" x14ac:dyDescent="0.25">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spans="1:26" ht="15.75" customHeight="1" x14ac:dyDescent="0.25">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spans="1:26" ht="15.75" customHeight="1" x14ac:dyDescent="0.25">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spans="1:26" ht="15.75" customHeight="1" x14ac:dyDescent="0.25">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spans="1:26" ht="15.75" customHeight="1" x14ac:dyDescent="0.25">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spans="1:26" ht="15.75" customHeight="1" x14ac:dyDescent="0.25">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spans="1:26" ht="15.75" customHeight="1" x14ac:dyDescent="0.2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spans="1:26" ht="15.75" customHeight="1" x14ac:dyDescent="0.25">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spans="1:26" ht="15.75" customHeight="1" x14ac:dyDescent="0.25">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spans="1:26" ht="15.75" customHeight="1" x14ac:dyDescent="0.25">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spans="1:26" ht="15.75" customHeight="1" x14ac:dyDescent="0.25">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spans="1:26" ht="15.75" customHeight="1" x14ac:dyDescent="0.25">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spans="1:26" ht="15.75" customHeight="1" x14ac:dyDescent="0.25">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spans="1:26" ht="15.75" customHeight="1" x14ac:dyDescent="0.25">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spans="1:26" ht="15.75" customHeight="1" x14ac:dyDescent="0.25">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spans="1:26" ht="15.75" customHeight="1" x14ac:dyDescent="0.25">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spans="1:26" ht="15.75" customHeight="1" x14ac:dyDescent="0.2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spans="1:26" ht="15.75" customHeight="1" x14ac:dyDescent="0.2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spans="1:26" ht="15.75" customHeight="1" x14ac:dyDescent="0.2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spans="1:26" ht="15.75" customHeight="1" x14ac:dyDescent="0.2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spans="1:26" ht="15.75" customHeight="1" x14ac:dyDescent="0.2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spans="1:26" ht="15.75" customHeight="1" x14ac:dyDescent="0.2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spans="1:26" ht="15.75" customHeight="1" x14ac:dyDescent="0.2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spans="1:26" ht="15.75" customHeight="1" x14ac:dyDescent="0.2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spans="1:26" ht="15.75" customHeight="1" x14ac:dyDescent="0.2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spans="1:26" ht="15.75" customHeight="1" x14ac:dyDescent="0.2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spans="1:26" ht="15.75" customHeight="1" x14ac:dyDescent="0.2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spans="1:26" ht="15.75" customHeight="1" x14ac:dyDescent="0.2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spans="1:26" ht="15.75" customHeight="1" x14ac:dyDescent="0.2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spans="1:26" ht="15.75" customHeight="1" x14ac:dyDescent="0.2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spans="1:26" ht="15.75" customHeight="1" x14ac:dyDescent="0.2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spans="1:26" ht="15.75" customHeight="1" x14ac:dyDescent="0.2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spans="1:26" ht="15.75" customHeight="1" x14ac:dyDescent="0.2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spans="1:26" ht="15.75" customHeight="1" x14ac:dyDescent="0.2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spans="1:26" ht="15.75" customHeight="1" x14ac:dyDescent="0.2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spans="1:26" ht="15.75" customHeight="1" x14ac:dyDescent="0.2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spans="1:26" ht="15.75" customHeight="1" x14ac:dyDescent="0.2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spans="1:26" ht="15.75" customHeight="1" x14ac:dyDescent="0.2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spans="1:26" ht="15.75" customHeight="1" x14ac:dyDescent="0.2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spans="1:26" ht="15.75" customHeight="1" x14ac:dyDescent="0.2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spans="1:26" ht="15.75" customHeight="1" x14ac:dyDescent="0.2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spans="1:26" ht="15.75" customHeight="1" x14ac:dyDescent="0.2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spans="1:26" ht="15.75" customHeight="1" x14ac:dyDescent="0.2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spans="1:26" ht="15.75" customHeight="1" x14ac:dyDescent="0.2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spans="1:26" ht="15.75" customHeight="1" x14ac:dyDescent="0.2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spans="1:26" ht="15.75" customHeight="1" x14ac:dyDescent="0.2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spans="1:26" ht="15.75" customHeight="1" x14ac:dyDescent="0.2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spans="1:26" ht="15.75" customHeight="1" x14ac:dyDescent="0.2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spans="1:26" ht="15.75" customHeight="1" x14ac:dyDescent="0.2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spans="1:26" ht="15.75" customHeight="1" x14ac:dyDescent="0.2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spans="1:26" ht="15.75" customHeight="1" x14ac:dyDescent="0.2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spans="1:26" ht="15.75" customHeight="1" x14ac:dyDescent="0.2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spans="1:26" ht="15.75" customHeight="1" x14ac:dyDescent="0.2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spans="1:26" ht="15.75" customHeight="1" x14ac:dyDescent="0.2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spans="1:26" ht="15.75" customHeight="1" x14ac:dyDescent="0.2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spans="1:26" ht="15.75" customHeight="1" x14ac:dyDescent="0.2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spans="1:26" ht="15.75" customHeight="1" x14ac:dyDescent="0.2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spans="1:26" ht="15.75" customHeight="1" x14ac:dyDescent="0.2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spans="1:26" ht="15.75" customHeight="1" x14ac:dyDescent="0.2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spans="1:26" ht="15.75" customHeight="1" x14ac:dyDescent="0.2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spans="1:26" ht="15.75" customHeight="1" x14ac:dyDescent="0.2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spans="1:26" ht="15.75" customHeight="1" x14ac:dyDescent="0.2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spans="1:26" ht="15.75" customHeight="1" x14ac:dyDescent="0.2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spans="1:26" ht="15.75" customHeight="1" x14ac:dyDescent="0.2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spans="1:26" ht="15.75" customHeight="1" x14ac:dyDescent="0.2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spans="1:26" ht="15.75" customHeight="1" x14ac:dyDescent="0.2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spans="1:26" ht="15.75" customHeight="1" x14ac:dyDescent="0.2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spans="1:26" ht="15.75" customHeight="1" x14ac:dyDescent="0.2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spans="1:26" ht="15.75" customHeight="1" x14ac:dyDescent="0.2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spans="1:26" ht="15.75" customHeight="1" x14ac:dyDescent="0.2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spans="1:26" ht="15.75" customHeight="1" x14ac:dyDescent="0.2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spans="1:26" ht="15.75" customHeight="1" x14ac:dyDescent="0.2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spans="1:26" ht="15.75" customHeight="1" x14ac:dyDescent="0.2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spans="1:26" ht="15.75" customHeight="1" x14ac:dyDescent="0.2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spans="1:26" ht="15.75" customHeight="1" x14ac:dyDescent="0.2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spans="1:26" ht="15.75" customHeight="1" x14ac:dyDescent="0.2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spans="1:26" ht="15.75" customHeight="1" x14ac:dyDescent="0.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spans="1:26" ht="15.75" customHeight="1" x14ac:dyDescent="0.2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spans="1:26" ht="15.75" customHeight="1" x14ac:dyDescent="0.2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spans="1:26" ht="15.75" customHeight="1" x14ac:dyDescent="0.2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spans="1:26" ht="15.75" customHeight="1" x14ac:dyDescent="0.2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spans="1:26" ht="15.75" customHeight="1" x14ac:dyDescent="0.2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spans="1:26" ht="15.75" customHeight="1" x14ac:dyDescent="0.2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spans="1:26" ht="15.75" customHeight="1" x14ac:dyDescent="0.2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spans="1:26" ht="15.75" customHeight="1" x14ac:dyDescent="0.2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spans="1:26" ht="15.75" customHeight="1" x14ac:dyDescent="0.2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spans="1:26" ht="15.75" customHeight="1" x14ac:dyDescent="0.2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spans="1:26" ht="15.75" customHeight="1" x14ac:dyDescent="0.2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spans="1:26" ht="15.75" customHeight="1" x14ac:dyDescent="0.2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spans="1:26" ht="15.75" customHeight="1" x14ac:dyDescent="0.2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spans="1:26" ht="15.75" customHeight="1" x14ac:dyDescent="0.2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spans="1:26" ht="15.75" customHeight="1" x14ac:dyDescent="0.2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spans="1:26" ht="15.75" customHeight="1" x14ac:dyDescent="0.2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spans="1:26" ht="15.75" customHeight="1" x14ac:dyDescent="0.2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spans="1:26" ht="15.75" customHeight="1" x14ac:dyDescent="0.2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spans="1:26" ht="15.75" customHeight="1" x14ac:dyDescent="0.2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spans="1:26" ht="15.75" customHeight="1" x14ac:dyDescent="0.2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spans="1:26" ht="15.75" customHeight="1" x14ac:dyDescent="0.2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spans="1:26" ht="15.75" customHeight="1" x14ac:dyDescent="0.2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spans="1:26" ht="15.75" customHeight="1" x14ac:dyDescent="0.2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spans="1:26" ht="15.75" customHeight="1" x14ac:dyDescent="0.2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spans="1:26" ht="15.75" customHeight="1" x14ac:dyDescent="0.2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spans="1:26" ht="15.75" customHeight="1" x14ac:dyDescent="0.2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spans="1:26" ht="15.75" customHeight="1" x14ac:dyDescent="0.2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spans="1:26" ht="15.75" customHeight="1" x14ac:dyDescent="0.2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spans="1:26" ht="15.75" customHeight="1" x14ac:dyDescent="0.2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spans="1:26" ht="15.75" customHeight="1" x14ac:dyDescent="0.2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spans="1:26" ht="15.75" customHeight="1" x14ac:dyDescent="0.2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spans="1:26" ht="15.75" customHeight="1" x14ac:dyDescent="0.2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spans="1:26" ht="15.75" customHeight="1" x14ac:dyDescent="0.2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spans="1:26" ht="15.75" customHeight="1" x14ac:dyDescent="0.25">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spans="1:26" ht="15.75" customHeight="1" x14ac:dyDescent="0.25">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spans="1:26" ht="15.75" customHeight="1" x14ac:dyDescent="0.25">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spans="1:26" ht="15.75" customHeight="1" x14ac:dyDescent="0.25">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spans="1:26" ht="15.75" customHeight="1" x14ac:dyDescent="0.25">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spans="1:26" ht="15.75" customHeight="1" x14ac:dyDescent="0.25">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spans="1:26" ht="15.75" customHeight="1" x14ac:dyDescent="0.2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spans="1:26" ht="15.75" customHeight="1" x14ac:dyDescent="0.25">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spans="1:26" ht="15.75" customHeight="1" x14ac:dyDescent="0.25">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spans="1:26" ht="15.75" customHeight="1" x14ac:dyDescent="0.25">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spans="1:26" ht="15.75" customHeight="1" x14ac:dyDescent="0.25">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spans="1:26" ht="15.75" customHeight="1" x14ac:dyDescent="0.25">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spans="1:26" ht="15.75" customHeight="1" x14ac:dyDescent="0.25">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spans="1:26" ht="15.75" customHeight="1" x14ac:dyDescent="0.25">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spans="1:26" ht="15.75" customHeight="1" x14ac:dyDescent="0.25">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spans="1:26" ht="15.75" customHeight="1" x14ac:dyDescent="0.25">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spans="1:26" ht="15.75" customHeight="1" x14ac:dyDescent="0.2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spans="1:26" ht="15.75" customHeight="1" x14ac:dyDescent="0.25">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spans="1:26" ht="15.75" customHeight="1" x14ac:dyDescent="0.25">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spans="1:26" ht="15.75" customHeight="1" x14ac:dyDescent="0.25">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spans="1:26" ht="15.75" customHeight="1" x14ac:dyDescent="0.25">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spans="1:26" ht="15.75" customHeight="1" x14ac:dyDescent="0.25">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spans="1:26" ht="15.75" customHeight="1" x14ac:dyDescent="0.25">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spans="1:26" ht="15.75" customHeight="1" x14ac:dyDescent="0.25">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spans="1:26" ht="15.75" customHeight="1" x14ac:dyDescent="0.25">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spans="1:26" ht="15.75" customHeight="1" x14ac:dyDescent="0.25">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spans="1:26" ht="15.75" customHeight="1" x14ac:dyDescent="0.2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spans="1:26" ht="15.75" customHeight="1" x14ac:dyDescent="0.25">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spans="1:26" ht="15.75" customHeight="1" x14ac:dyDescent="0.25">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spans="1:26" ht="15.75" customHeight="1" x14ac:dyDescent="0.25">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spans="1:26" ht="15.75" customHeight="1" x14ac:dyDescent="0.25">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spans="1:26" ht="15.75" customHeight="1" x14ac:dyDescent="0.25">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spans="1:26" ht="15.75" customHeight="1" x14ac:dyDescent="0.25">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spans="1:26" ht="15.75" customHeight="1" x14ac:dyDescent="0.25">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spans="1:26" ht="15.75" customHeight="1" x14ac:dyDescent="0.25">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spans="1:26" ht="15.75" customHeight="1" x14ac:dyDescent="0.25">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spans="1:26" ht="15.75" customHeight="1" x14ac:dyDescent="0.2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spans="1:26" ht="15.75" customHeight="1" x14ac:dyDescent="0.25">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spans="1:26" ht="15.75" customHeight="1" x14ac:dyDescent="0.25">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spans="1:26" ht="15.75" customHeight="1" x14ac:dyDescent="0.25">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spans="1:26" ht="15.75" customHeight="1" x14ac:dyDescent="0.25">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spans="1:26" ht="15.75" customHeight="1" x14ac:dyDescent="0.25">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spans="1:26" ht="15.75" customHeight="1" x14ac:dyDescent="0.25">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spans="1:26" ht="15.75" customHeight="1" x14ac:dyDescent="0.25">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spans="1:26" ht="15.75" customHeight="1" x14ac:dyDescent="0.25">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spans="1:26" ht="15.75" customHeight="1" x14ac:dyDescent="0.25">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spans="1:26" ht="15.75" customHeight="1" x14ac:dyDescent="0.2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spans="1:26" ht="15.75" customHeight="1" x14ac:dyDescent="0.25">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spans="1:26" ht="15.75" customHeight="1" x14ac:dyDescent="0.25">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spans="1:26" ht="15.75" customHeight="1" x14ac:dyDescent="0.25">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spans="1:26" ht="15.75" customHeight="1" x14ac:dyDescent="0.25">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spans="1:26" ht="15.75" customHeight="1" x14ac:dyDescent="0.25">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spans="1:26" ht="15.75" customHeight="1" x14ac:dyDescent="0.25">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spans="1:26" ht="15.75" customHeight="1" x14ac:dyDescent="0.25">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spans="1:26" ht="15.75" customHeight="1" x14ac:dyDescent="0.25">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spans="1:26" ht="15.75" customHeight="1" x14ac:dyDescent="0.25">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spans="1:26" ht="15.75" customHeight="1" x14ac:dyDescent="0.2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spans="1:26" ht="15.75" customHeight="1" x14ac:dyDescent="0.25">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spans="1:26" ht="15.75" customHeight="1" x14ac:dyDescent="0.25">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spans="1:26" ht="15.75" customHeight="1" x14ac:dyDescent="0.25">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spans="1:26" ht="15.75" customHeight="1" x14ac:dyDescent="0.25">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spans="1:26" ht="15.75" customHeight="1" x14ac:dyDescent="0.25">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spans="1:26" ht="15.75" customHeight="1" x14ac:dyDescent="0.25">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spans="1:26" ht="15.75" customHeight="1" x14ac:dyDescent="0.25">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spans="1:26" ht="15.75" customHeight="1" x14ac:dyDescent="0.25">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spans="1:26" ht="15.75" customHeight="1" x14ac:dyDescent="0.25">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spans="1:26" ht="15.75" customHeight="1" x14ac:dyDescent="0.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spans="1:26" ht="15.75" customHeight="1" x14ac:dyDescent="0.25">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spans="1:26" ht="15.75" customHeight="1" x14ac:dyDescent="0.25">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spans="1:26" ht="15.75" customHeight="1" x14ac:dyDescent="0.25">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spans="1:26" ht="15.75" customHeight="1" x14ac:dyDescent="0.25">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spans="1:26" ht="15.75" customHeight="1" x14ac:dyDescent="0.25">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spans="1:26" ht="15.75" customHeight="1" x14ac:dyDescent="0.25">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spans="1:26" ht="15.75" customHeight="1" x14ac:dyDescent="0.25">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spans="1:26" ht="15.75" customHeight="1" x14ac:dyDescent="0.25">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spans="1:26" ht="15.75" customHeight="1" x14ac:dyDescent="0.25">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spans="1:26" ht="15.75" customHeight="1" x14ac:dyDescent="0.2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spans="1:26" ht="15.75" customHeight="1" x14ac:dyDescent="0.25">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spans="1:26" ht="15.75" customHeight="1" x14ac:dyDescent="0.25">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spans="1:26" ht="15.75" customHeight="1" x14ac:dyDescent="0.25">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spans="1:26" ht="15.75" customHeight="1" x14ac:dyDescent="0.25">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spans="1:26" ht="15.75" customHeight="1" x14ac:dyDescent="0.25">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spans="1:26" ht="15.75" customHeight="1" x14ac:dyDescent="0.25">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spans="1:26" ht="15.75" customHeight="1" x14ac:dyDescent="0.25">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spans="1:26" ht="15.75" customHeight="1" x14ac:dyDescent="0.25">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spans="1:26" ht="15.75" customHeight="1" x14ac:dyDescent="0.25">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spans="1:26" ht="15.75" customHeight="1" x14ac:dyDescent="0.2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spans="1:26" ht="15.75" customHeight="1" x14ac:dyDescent="0.25">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spans="1:26" ht="15.75" customHeight="1" x14ac:dyDescent="0.25">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spans="1:26" ht="15.75" customHeight="1" x14ac:dyDescent="0.25">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spans="1:26" ht="15.75" customHeight="1" x14ac:dyDescent="0.25">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spans="1:26" ht="15.75" customHeight="1" x14ac:dyDescent="0.25">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spans="1:26" ht="15.75" customHeight="1" x14ac:dyDescent="0.25">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spans="1:26" ht="15.75" customHeight="1" x14ac:dyDescent="0.25">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spans="1:26" ht="15.75" customHeight="1" x14ac:dyDescent="0.25">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spans="1:26" ht="15.75" customHeight="1" x14ac:dyDescent="0.25">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spans="1:26" ht="15.75" customHeight="1" x14ac:dyDescent="0.2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spans="1:26" ht="15.75" customHeight="1" x14ac:dyDescent="0.25">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spans="1:26" ht="15.75" customHeight="1" x14ac:dyDescent="0.25">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spans="1:26" ht="15.75" customHeight="1" x14ac:dyDescent="0.25">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spans="1:26" ht="15.75" customHeight="1" x14ac:dyDescent="0.25">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spans="1:26" ht="15.75" customHeight="1" x14ac:dyDescent="0.25">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spans="1:26" ht="15.75" customHeight="1" x14ac:dyDescent="0.25">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spans="1:26" ht="15.75" customHeight="1" x14ac:dyDescent="0.25">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spans="1:26" ht="15.75" customHeight="1" x14ac:dyDescent="0.25">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spans="1:26" ht="15.75" customHeight="1" x14ac:dyDescent="0.25">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spans="1:26" ht="15.75" customHeight="1" x14ac:dyDescent="0.2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spans="1:26" ht="15.75" customHeight="1" x14ac:dyDescent="0.25">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spans="1:26" ht="15.75" customHeight="1" x14ac:dyDescent="0.25">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spans="1:26" ht="15.75" customHeight="1" x14ac:dyDescent="0.25">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spans="1:26" ht="15.75" customHeight="1" x14ac:dyDescent="0.25">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spans="1:26" ht="15.75" customHeight="1" x14ac:dyDescent="0.25">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spans="1:26" ht="15.75" customHeight="1" x14ac:dyDescent="0.25">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spans="1:26" ht="15.75" customHeight="1" x14ac:dyDescent="0.25">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spans="1:26" ht="15.75" customHeight="1" x14ac:dyDescent="0.25">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spans="1:26" ht="15.75" customHeight="1" x14ac:dyDescent="0.25">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spans="1:26" ht="15.75" customHeight="1" x14ac:dyDescent="0.2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spans="1:26" ht="15.75" customHeight="1" x14ac:dyDescent="0.25">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spans="1:26" ht="15.75" customHeight="1" x14ac:dyDescent="0.25">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spans="1:26" ht="15.75" customHeight="1" x14ac:dyDescent="0.25">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spans="1:26" ht="15.75" customHeight="1" x14ac:dyDescent="0.25">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spans="1:26" ht="15.75" customHeight="1" x14ac:dyDescent="0.25">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spans="1:26" ht="15.75" customHeight="1" x14ac:dyDescent="0.25">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spans="1:26" ht="15.75" customHeight="1" x14ac:dyDescent="0.25">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spans="1:26" ht="15.75" customHeight="1" x14ac:dyDescent="0.25">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spans="1:26" ht="15.75" customHeight="1" x14ac:dyDescent="0.25">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spans="1:26" ht="15.75" customHeight="1" x14ac:dyDescent="0.2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spans="1:26" ht="15.75" customHeight="1" x14ac:dyDescent="0.25">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spans="1:26" ht="15.75" customHeight="1" x14ac:dyDescent="0.25">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spans="1:26" ht="15.75" customHeight="1" x14ac:dyDescent="0.25">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spans="1:26" ht="15.75" customHeight="1" x14ac:dyDescent="0.25">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spans="1:26" ht="15.75" customHeight="1" x14ac:dyDescent="0.25">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spans="1:26" ht="15.75" customHeight="1" x14ac:dyDescent="0.25">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spans="1:26" ht="15.75" customHeight="1" x14ac:dyDescent="0.25">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spans="1:26" ht="15.75" customHeight="1" x14ac:dyDescent="0.25">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spans="1:26" ht="15.75" customHeight="1" x14ac:dyDescent="0.25">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spans="1:26" ht="15.75" customHeight="1" x14ac:dyDescent="0.2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spans="1:26" ht="15.75" customHeight="1" x14ac:dyDescent="0.25">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spans="1:26" ht="15.75" customHeight="1" x14ac:dyDescent="0.25">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spans="1:26" ht="15.75" customHeight="1" x14ac:dyDescent="0.25">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spans="1:26" ht="15.75" customHeight="1" x14ac:dyDescent="0.25">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spans="1:26" ht="15.75" customHeight="1" x14ac:dyDescent="0.25">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spans="1:26" ht="15.75" customHeight="1" x14ac:dyDescent="0.25">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spans="1:26" ht="15.75" customHeight="1" x14ac:dyDescent="0.25">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spans="1:26" ht="15.75" customHeight="1" x14ac:dyDescent="0.25">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spans="1:26" ht="15.75" customHeight="1" x14ac:dyDescent="0.25">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spans="1:26" ht="15.75" customHeight="1" x14ac:dyDescent="0.2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spans="1:26" ht="15.75" customHeight="1" x14ac:dyDescent="0.25">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spans="1:26" ht="15.75" customHeight="1" x14ac:dyDescent="0.25">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spans="1:26" ht="15.75" customHeight="1" x14ac:dyDescent="0.25">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spans="1:26" ht="15.75" customHeight="1" x14ac:dyDescent="0.25">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spans="1:26" ht="15.75" customHeight="1" x14ac:dyDescent="0.25">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spans="1:26" ht="15.75" customHeight="1" x14ac:dyDescent="0.25">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spans="1:26" ht="15.75" customHeight="1" x14ac:dyDescent="0.25">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spans="1:26" ht="15.75" customHeight="1" x14ac:dyDescent="0.25">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spans="1:26" ht="15.75" customHeight="1" x14ac:dyDescent="0.25">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spans="1:26" ht="15.75" customHeight="1" x14ac:dyDescent="0.2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spans="1:26" ht="15.75" customHeight="1" x14ac:dyDescent="0.25">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spans="1:26" ht="15.75" customHeight="1" x14ac:dyDescent="0.25">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spans="1:26" ht="15.75" customHeight="1" x14ac:dyDescent="0.25">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spans="1:26" ht="15.75" customHeight="1" x14ac:dyDescent="0.25">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spans="1:26" ht="15.75" customHeight="1" x14ac:dyDescent="0.25">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spans="1:26" ht="15.75" customHeight="1" x14ac:dyDescent="0.25">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spans="1:26" ht="15.75" customHeight="1" x14ac:dyDescent="0.25">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spans="1:26" ht="15.75" customHeight="1" x14ac:dyDescent="0.25">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spans="1:26" ht="15.75" customHeight="1" x14ac:dyDescent="0.25">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spans="1:26" ht="15.75" customHeight="1" x14ac:dyDescent="0.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spans="1:26" ht="15.75" customHeight="1" x14ac:dyDescent="0.25">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spans="1:26" ht="15.75" customHeight="1" x14ac:dyDescent="0.25">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spans="1:26" ht="15.75" customHeight="1" x14ac:dyDescent="0.25">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spans="1:26" ht="15.75" customHeight="1" x14ac:dyDescent="0.25">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spans="1:26" ht="15.75" customHeight="1" x14ac:dyDescent="0.25">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spans="1:26" ht="15.75" customHeight="1" x14ac:dyDescent="0.25">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spans="1:26" ht="15.75" customHeight="1" x14ac:dyDescent="0.25">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spans="1:26" ht="15.75" customHeight="1" x14ac:dyDescent="0.25">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spans="1:26" ht="15.75" customHeight="1" x14ac:dyDescent="0.25">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spans="1:26" ht="15.75" customHeight="1" x14ac:dyDescent="0.2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spans="1:26" ht="15.75" customHeight="1" x14ac:dyDescent="0.25">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spans="1:26" ht="15.75" customHeight="1" x14ac:dyDescent="0.25">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spans="1:26" ht="15.75" customHeight="1" x14ac:dyDescent="0.25">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spans="1:26" ht="15.75" customHeight="1" x14ac:dyDescent="0.25">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spans="1:26" ht="15.75" customHeight="1" x14ac:dyDescent="0.25">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spans="1:26" ht="15.75" customHeight="1" x14ac:dyDescent="0.25">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spans="1:26" ht="15.75" customHeight="1" x14ac:dyDescent="0.25">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spans="1:26" ht="15.75" customHeight="1" x14ac:dyDescent="0.25">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spans="1:26" ht="15.75" customHeight="1" x14ac:dyDescent="0.25">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spans="1:26" ht="15.75" customHeight="1" x14ac:dyDescent="0.2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spans="1:26" ht="15.75" customHeight="1" x14ac:dyDescent="0.25">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spans="1:26" ht="15.75" customHeight="1" x14ac:dyDescent="0.25">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spans="1:26" ht="15.75" customHeight="1" x14ac:dyDescent="0.25">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spans="1:26" ht="15.75" customHeight="1" x14ac:dyDescent="0.25">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spans="1:26" ht="15.75" customHeight="1" x14ac:dyDescent="0.25">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spans="1:26" ht="15.75" customHeight="1" x14ac:dyDescent="0.25">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spans="1:26" ht="15.75" customHeight="1" x14ac:dyDescent="0.25">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spans="1:26" ht="15.75" customHeight="1" x14ac:dyDescent="0.25">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spans="1:26" ht="15.75" customHeight="1" x14ac:dyDescent="0.25">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spans="1:26" ht="15.75" customHeight="1" x14ac:dyDescent="0.2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spans="1:26" ht="15.75" customHeight="1" x14ac:dyDescent="0.25">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spans="1:26" ht="15.75" customHeight="1" x14ac:dyDescent="0.25">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spans="1:26" ht="15.75" customHeight="1" x14ac:dyDescent="0.25">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spans="1:26" ht="15.75" customHeight="1" x14ac:dyDescent="0.25">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spans="1:26" ht="15.75" customHeight="1" x14ac:dyDescent="0.25">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spans="1:26" ht="15.75" customHeight="1" x14ac:dyDescent="0.25">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spans="1:26" ht="15.75" customHeight="1" x14ac:dyDescent="0.25">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spans="1:26" ht="15.75" customHeight="1" x14ac:dyDescent="0.25">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spans="1:26" ht="15.75" customHeight="1" x14ac:dyDescent="0.25">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spans="1:26" ht="15.75" customHeight="1" x14ac:dyDescent="0.2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spans="1:26" ht="15.75" customHeight="1" x14ac:dyDescent="0.25">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spans="1:26" ht="15.75" customHeight="1" x14ac:dyDescent="0.25">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spans="1:26" ht="15.75" customHeight="1" x14ac:dyDescent="0.25">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spans="1:26" ht="15.75" customHeight="1" x14ac:dyDescent="0.25">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spans="1:26" ht="15.75" customHeight="1" x14ac:dyDescent="0.25">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spans="1:26" ht="15.75" customHeight="1" x14ac:dyDescent="0.25">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spans="1:26" ht="15.75" customHeight="1" x14ac:dyDescent="0.25">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spans="1:26" ht="15.75" customHeight="1" x14ac:dyDescent="0.25">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spans="1:26" ht="15.75" customHeight="1" x14ac:dyDescent="0.25">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spans="1:26" ht="15.75" customHeight="1" x14ac:dyDescent="0.2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spans="1:26" ht="15.75" customHeight="1" x14ac:dyDescent="0.25">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spans="1:26" ht="15.75" customHeight="1" x14ac:dyDescent="0.25">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spans="1:26" ht="15.75" customHeight="1" x14ac:dyDescent="0.25">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spans="1:26" ht="15.75" customHeight="1" x14ac:dyDescent="0.25">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spans="1:26" ht="15.75" customHeight="1" x14ac:dyDescent="0.25">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spans="1:26" ht="15.75" customHeight="1" x14ac:dyDescent="0.25">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spans="1:26" ht="15.75" customHeight="1" x14ac:dyDescent="0.25">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spans="1:26" ht="15.75" customHeight="1" x14ac:dyDescent="0.25">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spans="1:26" ht="15.75" customHeight="1" x14ac:dyDescent="0.25">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spans="1:26" ht="15.75" customHeight="1" x14ac:dyDescent="0.2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spans="1:26" ht="15.75" customHeight="1" x14ac:dyDescent="0.25">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spans="1:26" ht="15.75" customHeight="1" x14ac:dyDescent="0.25">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spans="1:26" ht="15.75" customHeight="1" x14ac:dyDescent="0.25">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spans="1:26" ht="15.75" customHeight="1" x14ac:dyDescent="0.25">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spans="1:26" ht="15.75" customHeight="1" x14ac:dyDescent="0.25">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spans="1:26" ht="15.75" customHeight="1" x14ac:dyDescent="0.25">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spans="1:26" ht="15.75" customHeight="1" x14ac:dyDescent="0.25">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spans="1:26" ht="15.75" customHeight="1" x14ac:dyDescent="0.25">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spans="1:26" ht="15.75" customHeight="1" x14ac:dyDescent="0.25">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spans="1:26" ht="15.75" customHeight="1" x14ac:dyDescent="0.2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spans="1:26" ht="15.75" customHeight="1" x14ac:dyDescent="0.25">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spans="1:26" ht="15.75" customHeight="1" x14ac:dyDescent="0.25">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spans="1:26" ht="15.75" customHeight="1" x14ac:dyDescent="0.25">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spans="1:26" ht="15.75" customHeight="1" x14ac:dyDescent="0.25">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spans="1:26" ht="15.75" customHeight="1" x14ac:dyDescent="0.25">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spans="1:26" ht="15.75" customHeight="1" x14ac:dyDescent="0.25">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spans="1:26" ht="15.75" customHeight="1" x14ac:dyDescent="0.25">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spans="1:26" ht="15.75" customHeight="1" x14ac:dyDescent="0.25">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spans="1:26" ht="15.75" customHeight="1" x14ac:dyDescent="0.25">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spans="1:26" ht="15.75" customHeight="1" x14ac:dyDescent="0.2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spans="1:26" ht="15.75" customHeight="1" x14ac:dyDescent="0.25">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spans="1:26" ht="15.75" customHeight="1" x14ac:dyDescent="0.25">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spans="1:26" ht="15.75" customHeight="1" x14ac:dyDescent="0.25">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spans="1:26" ht="15.75" customHeight="1" x14ac:dyDescent="0.25">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spans="1:26" ht="15.75" customHeight="1" x14ac:dyDescent="0.25">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spans="1:26" ht="15.75" customHeight="1" x14ac:dyDescent="0.25">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spans="1:26" ht="15.75" customHeight="1" x14ac:dyDescent="0.25">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spans="1:26" ht="15.75" customHeight="1" x14ac:dyDescent="0.25">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spans="1:26" ht="15.75" customHeight="1" x14ac:dyDescent="0.25">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spans="1:26" ht="15.75" customHeight="1" x14ac:dyDescent="0.2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spans="1:26" ht="15.75" customHeight="1" x14ac:dyDescent="0.25">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spans="1:26" ht="15.75" customHeight="1" x14ac:dyDescent="0.25">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spans="1:26" ht="15.75" customHeight="1" x14ac:dyDescent="0.25">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spans="1:26" ht="15.75" customHeight="1" x14ac:dyDescent="0.25">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spans="1:26" ht="15.75" customHeight="1" x14ac:dyDescent="0.25">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spans="1:26" ht="15.75" customHeight="1" x14ac:dyDescent="0.25">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spans="1:26" ht="15.75" customHeight="1" x14ac:dyDescent="0.25">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spans="1:26" ht="15.75" customHeight="1" x14ac:dyDescent="0.25">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spans="1:26" ht="15.75" customHeight="1" x14ac:dyDescent="0.25">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spans="1:26" ht="15.75" customHeight="1" x14ac:dyDescent="0.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spans="1:26" ht="15.75" customHeight="1" x14ac:dyDescent="0.25">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spans="1:26" ht="15.75" customHeight="1" x14ac:dyDescent="0.25">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spans="1:26" ht="15.75" customHeight="1" x14ac:dyDescent="0.25">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spans="1:26" ht="15.75" customHeight="1" x14ac:dyDescent="0.25">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spans="1:26" ht="15.75" customHeight="1" x14ac:dyDescent="0.25">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spans="1:26" ht="15.75" customHeight="1" x14ac:dyDescent="0.25">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spans="1:26" ht="15.75" customHeight="1" x14ac:dyDescent="0.25">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spans="1:26" ht="15.75" customHeight="1" x14ac:dyDescent="0.25">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spans="1:26" ht="15.75" customHeight="1" x14ac:dyDescent="0.25">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spans="1:26" ht="15.75" customHeight="1" x14ac:dyDescent="0.2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spans="1:26" ht="15.75" customHeight="1" x14ac:dyDescent="0.25">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spans="1:26" ht="15.75" customHeight="1" x14ac:dyDescent="0.25">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spans="1:26" ht="15.75" customHeight="1" x14ac:dyDescent="0.25">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spans="1:26" ht="15.75" customHeight="1" x14ac:dyDescent="0.25">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spans="1:26" ht="15.75" customHeight="1" x14ac:dyDescent="0.25">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spans="1:26" ht="15.75" customHeight="1" x14ac:dyDescent="0.25">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spans="1:26" ht="15.75" customHeight="1" x14ac:dyDescent="0.25">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spans="1:26" ht="15.75" customHeight="1" x14ac:dyDescent="0.25">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spans="1:26" ht="15.75" customHeight="1" x14ac:dyDescent="0.25">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spans="1:26" ht="15.75" customHeight="1" x14ac:dyDescent="0.2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spans="1:26" ht="15.75" customHeight="1" x14ac:dyDescent="0.25">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spans="1:26" ht="15.75" customHeight="1" x14ac:dyDescent="0.25">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spans="1:26" ht="15.75" customHeight="1" x14ac:dyDescent="0.25">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spans="1:26" ht="15.75" customHeight="1" x14ac:dyDescent="0.25">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spans="1:26" ht="15.75" customHeight="1" x14ac:dyDescent="0.25">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spans="1:26" ht="15.75" customHeight="1" x14ac:dyDescent="0.25">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spans="1:26" ht="15.75" customHeight="1" x14ac:dyDescent="0.25">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spans="1:26" ht="15.75" customHeight="1" x14ac:dyDescent="0.25">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spans="1:26" ht="15.75" customHeight="1" x14ac:dyDescent="0.25">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spans="1:26" ht="15.75" customHeight="1" x14ac:dyDescent="0.2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spans="1:26" ht="15.75" customHeight="1" x14ac:dyDescent="0.25">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spans="1:26" ht="15.75" customHeight="1" x14ac:dyDescent="0.25">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spans="1:26" ht="15.75" customHeight="1" x14ac:dyDescent="0.25">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spans="1:26" ht="15.75" customHeight="1" x14ac:dyDescent="0.25">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spans="1:26" ht="15.75" customHeight="1" x14ac:dyDescent="0.25">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spans="1:26" ht="15.75" customHeight="1" x14ac:dyDescent="0.25">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spans="1:26" ht="15.75" customHeight="1" x14ac:dyDescent="0.25">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spans="1:26" ht="15.75" customHeight="1" x14ac:dyDescent="0.25">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spans="1:26" ht="15.75" customHeight="1" x14ac:dyDescent="0.25">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spans="1:26" ht="15.75" customHeight="1" x14ac:dyDescent="0.2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spans="1:26" ht="15.75" customHeight="1" x14ac:dyDescent="0.25">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spans="1:26" ht="15.75" customHeight="1" x14ac:dyDescent="0.25">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spans="1:26" ht="15.75" customHeight="1" x14ac:dyDescent="0.25">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spans="1:26" ht="15.75" customHeight="1" x14ac:dyDescent="0.25">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spans="1:26" ht="15.75" customHeight="1" x14ac:dyDescent="0.25">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spans="1:26" ht="15.75" customHeight="1" x14ac:dyDescent="0.25">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spans="1:26" ht="15.75" customHeight="1" x14ac:dyDescent="0.25">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spans="1:26" ht="15.75" customHeight="1" x14ac:dyDescent="0.25">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spans="1:26" ht="15.75" customHeight="1" x14ac:dyDescent="0.25">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spans="1:26" ht="15.75" customHeight="1" x14ac:dyDescent="0.2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spans="1:26" ht="15.75" customHeight="1" x14ac:dyDescent="0.25">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spans="1:26" ht="15.75" customHeight="1" x14ac:dyDescent="0.25">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spans="1:26" ht="15.75" customHeight="1" x14ac:dyDescent="0.25">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spans="1:26" ht="15.75" customHeight="1" x14ac:dyDescent="0.25">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spans="1:26" ht="15.75" customHeight="1" x14ac:dyDescent="0.25">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spans="1:26" ht="15.75" customHeight="1" x14ac:dyDescent="0.25">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spans="1:26" ht="15.75" customHeight="1" x14ac:dyDescent="0.25">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spans="1:26" ht="15.75" customHeight="1" x14ac:dyDescent="0.25">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spans="1:26" ht="15.75" customHeight="1" x14ac:dyDescent="0.25">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spans="1:26" ht="15.75" customHeight="1" x14ac:dyDescent="0.2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spans="1:26" ht="15.75" customHeight="1" x14ac:dyDescent="0.25">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spans="1:26" ht="15.75" customHeight="1" x14ac:dyDescent="0.25">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spans="1:26" ht="15.75" customHeight="1" x14ac:dyDescent="0.25">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spans="1:26" ht="15.75" customHeight="1" x14ac:dyDescent="0.25">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spans="1:26" ht="15.75" customHeight="1" x14ac:dyDescent="0.25">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spans="1:26" ht="15.75" customHeight="1" x14ac:dyDescent="0.25">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spans="1:26" ht="15.75" customHeight="1" x14ac:dyDescent="0.25">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spans="1:26" ht="15.75" customHeight="1" x14ac:dyDescent="0.25">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spans="1:26" ht="15.75" customHeight="1" x14ac:dyDescent="0.25">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spans="1:26" ht="15.75" customHeight="1" x14ac:dyDescent="0.2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spans="1:26" ht="15.75" customHeight="1" x14ac:dyDescent="0.25">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spans="1:26" ht="15.75" customHeight="1" x14ac:dyDescent="0.25">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spans="1:26" ht="15.75" customHeight="1" x14ac:dyDescent="0.25">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spans="1:26" ht="15.75" customHeight="1" x14ac:dyDescent="0.25">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spans="1:26" ht="15.75" customHeight="1" x14ac:dyDescent="0.25">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spans="1:26" ht="15.75" customHeight="1" x14ac:dyDescent="0.25">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spans="1:26" ht="15.75" customHeight="1" x14ac:dyDescent="0.25">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spans="1:26" ht="15.75" customHeight="1" x14ac:dyDescent="0.25">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spans="1:26" ht="15.75" customHeight="1" x14ac:dyDescent="0.25">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spans="1:26" ht="15.75" customHeight="1" x14ac:dyDescent="0.2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spans="1:26" ht="15.75" customHeight="1" x14ac:dyDescent="0.25">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spans="1:26" ht="15.75" customHeight="1" x14ac:dyDescent="0.25">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spans="1:26" ht="15.75" customHeight="1" x14ac:dyDescent="0.25">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spans="1:26" ht="15.75" customHeight="1" x14ac:dyDescent="0.25">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spans="1:26" ht="15.75" customHeight="1" x14ac:dyDescent="0.25">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spans="1:26" ht="15.75" customHeight="1" x14ac:dyDescent="0.25">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spans="1:26" ht="15.75" customHeight="1" x14ac:dyDescent="0.25">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spans="1:26" ht="15.75" customHeight="1" x14ac:dyDescent="0.25">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spans="1:26" ht="15.75" customHeight="1" x14ac:dyDescent="0.25">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spans="1:26" ht="15.75" customHeight="1" x14ac:dyDescent="0.2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spans="1:26" ht="15.75" customHeight="1" x14ac:dyDescent="0.25">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spans="1:26" ht="15.75" customHeight="1" x14ac:dyDescent="0.25">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spans="1:26" ht="15.75" customHeight="1" x14ac:dyDescent="0.25">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spans="1:26" ht="15.75" customHeight="1" x14ac:dyDescent="0.25">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spans="1:26" ht="15.75" customHeight="1" x14ac:dyDescent="0.25">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spans="1:26" ht="15.75" customHeight="1" x14ac:dyDescent="0.25">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spans="1:26" ht="15.75" customHeight="1" x14ac:dyDescent="0.25">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spans="1:26" ht="15.75" customHeight="1" x14ac:dyDescent="0.25">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spans="1:26" ht="15.75" customHeight="1" x14ac:dyDescent="0.25">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spans="1:26" ht="15.75" customHeight="1" x14ac:dyDescent="0.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spans="1:26" ht="15.75" customHeight="1" x14ac:dyDescent="0.25">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spans="1:26" ht="15.75" customHeight="1" x14ac:dyDescent="0.25">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spans="1:26" ht="15.75" customHeight="1" x14ac:dyDescent="0.25">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spans="1:26" ht="15.75" customHeight="1" x14ac:dyDescent="0.25">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spans="1:26" ht="15.75" customHeight="1" x14ac:dyDescent="0.25">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spans="1:26" ht="15.75" customHeight="1" x14ac:dyDescent="0.25">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spans="1:26" ht="15.75" customHeight="1" x14ac:dyDescent="0.25">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spans="1:26" ht="15.75" customHeight="1" x14ac:dyDescent="0.25">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spans="1:26" ht="15.75" customHeight="1" x14ac:dyDescent="0.25">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spans="1:26" ht="15.75" customHeight="1" x14ac:dyDescent="0.2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spans="1:26" ht="15.75" customHeight="1" x14ac:dyDescent="0.25">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spans="1:26" ht="15.75" customHeight="1" x14ac:dyDescent="0.25">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spans="1:26" ht="15.75" customHeight="1" x14ac:dyDescent="0.25">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spans="1:26" ht="15.75" customHeight="1" x14ac:dyDescent="0.25">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spans="1:26" ht="15.75" customHeight="1" x14ac:dyDescent="0.25">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spans="1:26" ht="15.75" customHeight="1" x14ac:dyDescent="0.25">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spans="1:26" ht="15.75" customHeight="1" x14ac:dyDescent="0.25">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spans="1:26" ht="15.75" customHeight="1" x14ac:dyDescent="0.25">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spans="1:26" ht="15.75" customHeight="1" x14ac:dyDescent="0.25">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spans="1:26" ht="15.75" customHeight="1" x14ac:dyDescent="0.2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spans="1:26" ht="15.75" customHeight="1" x14ac:dyDescent="0.25">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spans="1:26" ht="15.75" customHeight="1" x14ac:dyDescent="0.25">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spans="1:26" ht="15.75" customHeight="1" x14ac:dyDescent="0.25">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spans="1:26" ht="15.75" customHeight="1" x14ac:dyDescent="0.25">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spans="1:26" ht="15.75" customHeight="1" x14ac:dyDescent="0.25">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spans="1:26" ht="15.75" customHeight="1" x14ac:dyDescent="0.25">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spans="1:26" ht="15.75" customHeight="1" x14ac:dyDescent="0.25">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spans="1:26" ht="15.75" customHeight="1" x14ac:dyDescent="0.25">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spans="1:26" ht="15.75" customHeight="1" x14ac:dyDescent="0.25">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spans="1:26" ht="15.75" customHeight="1" x14ac:dyDescent="0.2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spans="1:26" ht="15.75" customHeight="1" x14ac:dyDescent="0.25">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spans="1:26" ht="15.75" customHeight="1" x14ac:dyDescent="0.25">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spans="1:26" ht="15.75" customHeight="1" x14ac:dyDescent="0.25">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spans="1:26" ht="15.75" customHeight="1" x14ac:dyDescent="0.25">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spans="1:26" ht="15.75" customHeight="1" x14ac:dyDescent="0.25">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spans="1:26" ht="15.75" customHeight="1" x14ac:dyDescent="0.25">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spans="1:26" ht="15.75" customHeight="1" x14ac:dyDescent="0.25">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spans="1:26" ht="15.75" customHeight="1" x14ac:dyDescent="0.25">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spans="1:26" ht="15.75" customHeight="1" x14ac:dyDescent="0.25">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spans="1:26" ht="15.75" customHeight="1" x14ac:dyDescent="0.2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spans="1:26" ht="15.75" customHeight="1" x14ac:dyDescent="0.25">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spans="1:26" ht="15.75" customHeight="1" x14ac:dyDescent="0.25">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spans="1:26" ht="15.75" customHeight="1" x14ac:dyDescent="0.25">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spans="1:26" ht="15.75" customHeight="1" x14ac:dyDescent="0.25">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spans="1:26" ht="15.75" customHeight="1" x14ac:dyDescent="0.25">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spans="1:26" ht="15.75" customHeight="1" x14ac:dyDescent="0.25">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spans="1:26" ht="15.75" customHeight="1" x14ac:dyDescent="0.25">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spans="1:26" ht="15.75" customHeight="1" x14ac:dyDescent="0.25">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spans="1:26" ht="15.75" customHeight="1" x14ac:dyDescent="0.25">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spans="1:26" ht="15.75" customHeight="1" x14ac:dyDescent="0.2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spans="1:26" ht="15.75" customHeight="1" x14ac:dyDescent="0.25">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spans="1:26" ht="15.75" customHeight="1" x14ac:dyDescent="0.25">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spans="1:26" ht="15.75" customHeight="1" x14ac:dyDescent="0.25">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spans="1:26" ht="15.75" customHeight="1" x14ac:dyDescent="0.25">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spans="1:26" ht="15.75" customHeight="1" x14ac:dyDescent="0.25">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spans="1:26" ht="15.75" customHeight="1" x14ac:dyDescent="0.25">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spans="1:26" ht="15.75" customHeight="1" x14ac:dyDescent="0.25">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spans="1:26" ht="15.75" customHeight="1" x14ac:dyDescent="0.25">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spans="1:26" ht="15.75" customHeight="1" x14ac:dyDescent="0.25">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spans="1:26" ht="15.75" customHeight="1" x14ac:dyDescent="0.2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spans="1:26" ht="15.75" customHeight="1" x14ac:dyDescent="0.25">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spans="1:26" ht="15.75" customHeight="1" x14ac:dyDescent="0.25">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spans="1:26" ht="15.75" customHeight="1" x14ac:dyDescent="0.25">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spans="1:26" ht="15.75" customHeight="1" x14ac:dyDescent="0.25">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spans="1:26" ht="15.75" customHeight="1" x14ac:dyDescent="0.25">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spans="1:26" ht="15.75" customHeight="1" x14ac:dyDescent="0.25">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spans="1:26" ht="15.75" customHeight="1" x14ac:dyDescent="0.25">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spans="1:26" ht="15.75" customHeight="1" x14ac:dyDescent="0.25">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spans="1:26" ht="15.75" customHeight="1" x14ac:dyDescent="0.25">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spans="1:26" ht="15.75" customHeight="1" x14ac:dyDescent="0.2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spans="1:26" ht="15.75" customHeight="1" x14ac:dyDescent="0.25">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spans="1:26" ht="15.75" customHeight="1" x14ac:dyDescent="0.25">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spans="1:26" ht="15.75" customHeight="1" x14ac:dyDescent="0.25">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spans="1:26" ht="15.75" customHeight="1" x14ac:dyDescent="0.25">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spans="1:26" ht="15.75" customHeight="1" x14ac:dyDescent="0.25">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spans="1:26" ht="15.75" customHeight="1" x14ac:dyDescent="0.25">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spans="1:26" ht="15.75" customHeight="1" x14ac:dyDescent="0.25">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spans="1:26" ht="15.75" customHeight="1" x14ac:dyDescent="0.25">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spans="1:26" ht="15.75" customHeight="1" x14ac:dyDescent="0.25">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spans="1:26" ht="15.75" customHeight="1" x14ac:dyDescent="0.2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spans="1:26" ht="15.75" customHeight="1" x14ac:dyDescent="0.25">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spans="1:26" ht="15.75" customHeight="1" x14ac:dyDescent="0.25">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spans="1:26" ht="15.75" customHeight="1" x14ac:dyDescent="0.25">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spans="1:26" ht="15.75" customHeight="1" x14ac:dyDescent="0.25">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spans="1:26" ht="15.75" customHeight="1" x14ac:dyDescent="0.25">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spans="1:26" ht="15.75" customHeight="1" x14ac:dyDescent="0.25">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spans="1:26" ht="15.75" customHeight="1" x14ac:dyDescent="0.25">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spans="1:26" ht="15.75" customHeight="1" x14ac:dyDescent="0.25">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spans="1:26" ht="15.75" customHeight="1" x14ac:dyDescent="0.25">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spans="1:26" ht="15.75" customHeight="1" x14ac:dyDescent="0.2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spans="1:26" ht="15.75" customHeight="1" x14ac:dyDescent="0.25">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spans="1:26" ht="15.75" customHeight="1" x14ac:dyDescent="0.25">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spans="1:26" ht="15.75" customHeight="1" x14ac:dyDescent="0.25">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spans="1:26" ht="15.75" customHeight="1" x14ac:dyDescent="0.25">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spans="1:26" ht="15.75" customHeight="1" x14ac:dyDescent="0.25">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spans="1:26" ht="15.75" customHeight="1" x14ac:dyDescent="0.25">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spans="1:26" ht="15.75" customHeight="1" x14ac:dyDescent="0.25">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spans="1:26" ht="15.75" customHeight="1" x14ac:dyDescent="0.25">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spans="1:26" ht="15.75" customHeight="1" x14ac:dyDescent="0.25">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spans="1:26" ht="15.75" customHeight="1" x14ac:dyDescent="0.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spans="1:26" ht="15.75" customHeight="1" x14ac:dyDescent="0.25">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spans="1:26" ht="15.75" customHeight="1" x14ac:dyDescent="0.25">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spans="1:26" ht="15.75" customHeight="1" x14ac:dyDescent="0.25">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spans="1:26" ht="15.75" customHeight="1" x14ac:dyDescent="0.25">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spans="1:26" ht="15.75" customHeight="1" x14ac:dyDescent="0.25">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spans="1:26" ht="15.75" customHeight="1" x14ac:dyDescent="0.25">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spans="1:26" ht="15.75" customHeight="1" x14ac:dyDescent="0.25">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spans="1:26" ht="15.75" customHeight="1" x14ac:dyDescent="0.25">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spans="1:26" ht="15.75" customHeight="1" x14ac:dyDescent="0.25">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spans="1:26" ht="15.75" customHeight="1" x14ac:dyDescent="0.2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spans="1:26" ht="15.75" customHeight="1" x14ac:dyDescent="0.25">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spans="1:26" ht="15.75" customHeight="1" x14ac:dyDescent="0.25">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spans="1:26" ht="15.75" customHeight="1" x14ac:dyDescent="0.25">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spans="1:26" ht="15.75" customHeight="1" x14ac:dyDescent="0.25">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spans="1:26" ht="15.75" customHeight="1" x14ac:dyDescent="0.25">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spans="1:26" ht="15.75" customHeight="1" x14ac:dyDescent="0.25">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spans="1:26" ht="15.75" customHeight="1" x14ac:dyDescent="0.25">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spans="1:26" ht="15.75" customHeight="1" x14ac:dyDescent="0.25">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spans="1:26" ht="15.75" customHeight="1" x14ac:dyDescent="0.25">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spans="1:26" ht="15.75" customHeight="1" x14ac:dyDescent="0.2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spans="1:26" ht="15.75" customHeight="1" x14ac:dyDescent="0.25">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spans="1:26" ht="15.75" customHeight="1" x14ac:dyDescent="0.25">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spans="1:26" ht="15.75" customHeight="1" x14ac:dyDescent="0.25">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spans="1:26" ht="15.75" customHeight="1" x14ac:dyDescent="0.25">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spans="1:26" ht="15.75" customHeight="1" x14ac:dyDescent="0.25">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spans="1:26" ht="15.75" customHeight="1" x14ac:dyDescent="0.25">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spans="1:26" ht="15.75" customHeight="1" x14ac:dyDescent="0.25">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spans="1:26" ht="15.75" customHeight="1" x14ac:dyDescent="0.25">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spans="1:26" ht="15.75" customHeight="1" x14ac:dyDescent="0.25">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spans="1:26" ht="15.75" customHeight="1" x14ac:dyDescent="0.2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spans="1:26" ht="15.75" customHeight="1" x14ac:dyDescent="0.25">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spans="1:26" ht="15.75" customHeight="1" x14ac:dyDescent="0.25">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spans="1:26" ht="15.75" customHeight="1" x14ac:dyDescent="0.25">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spans="1:26" ht="15.75" customHeight="1" x14ac:dyDescent="0.25">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spans="1:26" ht="15.75" customHeight="1" x14ac:dyDescent="0.25">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spans="1:26" ht="15.75" customHeight="1" x14ac:dyDescent="0.25">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spans="1:26" ht="15.75" customHeight="1" x14ac:dyDescent="0.25">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spans="1:26" ht="15.75" customHeight="1" x14ac:dyDescent="0.25">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spans="1:26" ht="15.75" customHeight="1" x14ac:dyDescent="0.25">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spans="1:26" ht="15.75" customHeight="1" x14ac:dyDescent="0.2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spans="1:26" ht="15.75" customHeight="1" x14ac:dyDescent="0.25">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spans="1:26" ht="15.75" customHeight="1" x14ac:dyDescent="0.25">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spans="1:26" ht="15.75" customHeight="1" x14ac:dyDescent="0.25">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spans="1:26" ht="15.75" customHeight="1" x14ac:dyDescent="0.25">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spans="1:26" ht="15.75" customHeight="1" x14ac:dyDescent="0.25">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spans="1:26" ht="15.75" customHeight="1" x14ac:dyDescent="0.25">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spans="1:26" ht="15.75" customHeight="1" x14ac:dyDescent="0.25">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spans="1:26" ht="15.75" customHeight="1" x14ac:dyDescent="0.25">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spans="1:26" ht="15.75" customHeight="1" x14ac:dyDescent="0.25">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spans="1:26" ht="15.75" customHeight="1" x14ac:dyDescent="0.2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spans="1:26" ht="15.75" customHeight="1" x14ac:dyDescent="0.25">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spans="1:26" ht="15.75" customHeight="1" x14ac:dyDescent="0.25">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spans="1:26" ht="15.75" customHeight="1" x14ac:dyDescent="0.25">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spans="1:26" ht="15.75" customHeight="1" x14ac:dyDescent="0.25">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spans="1:26" ht="15.75" customHeight="1" x14ac:dyDescent="0.25">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spans="1:26" ht="15.75" customHeight="1" x14ac:dyDescent="0.25">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spans="1:26" ht="15.75" customHeight="1" x14ac:dyDescent="0.25">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spans="1:26" ht="15.75" customHeight="1" x14ac:dyDescent="0.25">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spans="1:26" ht="15.75" customHeight="1" x14ac:dyDescent="0.25">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spans="1:26" ht="15.75" customHeight="1" x14ac:dyDescent="0.2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spans="1:26" ht="15.75" customHeight="1" x14ac:dyDescent="0.25">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spans="1:26" ht="15.75" customHeight="1" x14ac:dyDescent="0.25">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spans="1:26" ht="15.75" customHeight="1" x14ac:dyDescent="0.25">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spans="1:26" ht="15.75" customHeight="1" x14ac:dyDescent="0.25">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spans="1:26" ht="15.75" customHeight="1" x14ac:dyDescent="0.25">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spans="1:26" ht="15.75" customHeight="1" x14ac:dyDescent="0.25">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spans="1:26" ht="15.75" customHeight="1" x14ac:dyDescent="0.25">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spans="1:26" ht="15.75" customHeight="1" x14ac:dyDescent="0.25">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spans="1:26" ht="15.75" customHeight="1" x14ac:dyDescent="0.25">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spans="1:26" ht="15.75" customHeight="1" x14ac:dyDescent="0.2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spans="1:26" ht="15.75" customHeight="1" x14ac:dyDescent="0.25">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spans="1:26" ht="15.75" customHeight="1" x14ac:dyDescent="0.25">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spans="1:26" ht="15.75" customHeight="1" x14ac:dyDescent="0.25">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spans="1:26" ht="15.75" customHeight="1" x14ac:dyDescent="0.25">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spans="1:26" ht="15.75" customHeight="1" x14ac:dyDescent="0.25">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spans="1:26" ht="15.75" customHeight="1" x14ac:dyDescent="0.25">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spans="1:26" ht="15.75" customHeight="1" x14ac:dyDescent="0.25">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spans="1:26" ht="15.75" customHeight="1" x14ac:dyDescent="0.25">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spans="1:26" ht="15.75" customHeight="1" x14ac:dyDescent="0.25">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spans="1:26" ht="15.75" customHeight="1" x14ac:dyDescent="0.2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spans="1:26" ht="15.75" customHeight="1" x14ac:dyDescent="0.25">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spans="1:26" ht="15.75" customHeight="1" x14ac:dyDescent="0.25">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spans="1:26" ht="15.75" customHeight="1" x14ac:dyDescent="0.25">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spans="1:26" ht="15.75" customHeight="1" x14ac:dyDescent="0.25">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spans="1:26" ht="15.75" customHeight="1" x14ac:dyDescent="0.25">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spans="1:26" ht="15.75" customHeight="1" x14ac:dyDescent="0.25">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spans="1:26" ht="15.75" customHeight="1" x14ac:dyDescent="0.25">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spans="1:26" ht="15.75" customHeight="1" x14ac:dyDescent="0.25">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spans="1:26" ht="15.75" customHeight="1" x14ac:dyDescent="0.25">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spans="1:26" ht="15.75" customHeight="1" x14ac:dyDescent="0.2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spans="1:26" ht="15.75" customHeight="1" x14ac:dyDescent="0.25">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spans="1:26" ht="15.75" customHeight="1" x14ac:dyDescent="0.25">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spans="1:26" ht="15.75" customHeight="1" x14ac:dyDescent="0.25">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spans="1:26" ht="15.75" customHeight="1" x14ac:dyDescent="0.25">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spans="1:26" ht="15.75" customHeight="1" x14ac:dyDescent="0.25">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spans="1:26" ht="15.75" customHeight="1" x14ac:dyDescent="0.25">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spans="1:26" ht="15.75" customHeight="1" x14ac:dyDescent="0.25">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spans="1:26" ht="15.75" customHeight="1" x14ac:dyDescent="0.25">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spans="1:26" ht="15.75" customHeight="1" x14ac:dyDescent="0.25">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spans="1:26" ht="15.75" customHeight="1" x14ac:dyDescent="0.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spans="1:26" ht="15.75" customHeight="1" x14ac:dyDescent="0.25">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spans="1:26" ht="15.75" customHeight="1" x14ac:dyDescent="0.25">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spans="1:26" ht="15.75" customHeight="1" x14ac:dyDescent="0.25">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spans="1:26" ht="15.75" customHeight="1" x14ac:dyDescent="0.25">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spans="1:26" ht="15.75" customHeight="1" x14ac:dyDescent="0.25">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spans="1:26" ht="15.75" customHeight="1" x14ac:dyDescent="0.25">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spans="1:26" ht="15.75" customHeight="1" x14ac:dyDescent="0.25">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spans="1:26" ht="15.75" customHeight="1" x14ac:dyDescent="0.25">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spans="1:26" ht="15.75" customHeight="1" x14ac:dyDescent="0.25">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spans="1:26" ht="15.75" customHeight="1" x14ac:dyDescent="0.2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spans="1:26" ht="15.75" customHeight="1" x14ac:dyDescent="0.25">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spans="1:26" ht="15.75" customHeight="1" x14ac:dyDescent="0.25">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spans="1:26" ht="15.75" customHeight="1" x14ac:dyDescent="0.25">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spans="1:26" ht="15.75" customHeight="1" x14ac:dyDescent="0.25">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spans="1:26" ht="15.75" customHeight="1" x14ac:dyDescent="0.25">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spans="1:26" ht="15.75" customHeight="1" x14ac:dyDescent="0.25">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spans="1:26" ht="15.75" customHeight="1" x14ac:dyDescent="0.25">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spans="1:26" ht="15.75" customHeight="1" x14ac:dyDescent="0.25">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spans="1:26" ht="15.75" customHeight="1" x14ac:dyDescent="0.25">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spans="1:26" ht="15.75" customHeight="1" x14ac:dyDescent="0.2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spans="1:26" ht="15.75" customHeight="1" x14ac:dyDescent="0.25">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spans="1:26" ht="15.75" customHeight="1" x14ac:dyDescent="0.25">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spans="1:26" ht="15.75" customHeight="1" x14ac:dyDescent="0.25">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spans="1:26" ht="15.75" customHeight="1" x14ac:dyDescent="0.25">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spans="1:26" ht="15.75" customHeight="1" x14ac:dyDescent="0.25">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spans="1:26" ht="15.75" customHeight="1" x14ac:dyDescent="0.25">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spans="1:26" ht="15.75" customHeight="1" x14ac:dyDescent="0.25">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spans="1:26" ht="15.75" customHeight="1" x14ac:dyDescent="0.25">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spans="1:26" ht="15.75" customHeight="1" x14ac:dyDescent="0.25">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spans="1:26" ht="15.75" customHeight="1" x14ac:dyDescent="0.2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spans="1:26" ht="15.75" customHeight="1" x14ac:dyDescent="0.25">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spans="1:26" ht="15.75" customHeight="1" x14ac:dyDescent="0.25">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spans="1:26" ht="15.75" customHeight="1" x14ac:dyDescent="0.25">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spans="1:26" ht="15.75" customHeight="1" x14ac:dyDescent="0.25">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spans="1:26" ht="15.75" customHeight="1" x14ac:dyDescent="0.25">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spans="1:26" ht="15.75" customHeight="1" x14ac:dyDescent="0.25">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spans="1:26" ht="15.75" customHeight="1" x14ac:dyDescent="0.25">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spans="1:26" ht="15.75" customHeight="1" x14ac:dyDescent="0.25">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spans="1:26" ht="15.75" customHeight="1" x14ac:dyDescent="0.25">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spans="1:26" ht="15.75" customHeight="1" x14ac:dyDescent="0.2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spans="1:26" ht="15.75" customHeight="1" x14ac:dyDescent="0.25">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spans="1:26" ht="15.75" customHeight="1" x14ac:dyDescent="0.25">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spans="1:26" ht="15.75" customHeight="1" x14ac:dyDescent="0.25">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spans="1:26" ht="15.75" customHeight="1" x14ac:dyDescent="0.25">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spans="1:26" ht="15.75" customHeight="1" x14ac:dyDescent="0.25">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spans="1:26" ht="15.75" customHeight="1" x14ac:dyDescent="0.25">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spans="1:26" ht="15.75" customHeight="1" x14ac:dyDescent="0.25">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spans="1:26" ht="15.75" customHeight="1" x14ac:dyDescent="0.25">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spans="1:26" ht="15.75" customHeight="1" x14ac:dyDescent="0.25">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spans="1:26" ht="15.75" customHeight="1" x14ac:dyDescent="0.2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spans="1:26" ht="15.75" customHeight="1" x14ac:dyDescent="0.25">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spans="1:26" ht="15.75" customHeight="1" x14ac:dyDescent="0.25">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spans="1:26" ht="15.75" customHeight="1" x14ac:dyDescent="0.25">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spans="1:26" ht="15.75" customHeight="1" x14ac:dyDescent="0.25">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spans="1:26" ht="15.75" customHeight="1" x14ac:dyDescent="0.25">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spans="1:26" ht="15.75" customHeight="1" x14ac:dyDescent="0.25">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spans="1:26" ht="15.75" customHeight="1" x14ac:dyDescent="0.25">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spans="1:26" ht="15.75" customHeight="1" x14ac:dyDescent="0.25">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spans="1:26" ht="15.75" customHeight="1" x14ac:dyDescent="0.25">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spans="1:26" ht="15.75" customHeight="1" x14ac:dyDescent="0.2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spans="1:26" ht="15.75" customHeight="1" x14ac:dyDescent="0.25">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spans="1:26" ht="15.75" customHeight="1" x14ac:dyDescent="0.25">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spans="1:26" ht="15.75" customHeight="1" x14ac:dyDescent="0.25">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spans="1:26" ht="15.75" customHeight="1" x14ac:dyDescent="0.25">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spans="1:26" ht="15.75" customHeight="1" x14ac:dyDescent="0.25">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spans="1:26" ht="15.75" customHeight="1" x14ac:dyDescent="0.25">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spans="1:26" ht="15.75" customHeight="1" x14ac:dyDescent="0.25">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spans="1:26" ht="15.75" customHeight="1" x14ac:dyDescent="0.25">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spans="1:26" ht="15.75" customHeight="1" x14ac:dyDescent="0.25">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spans="1:26" ht="15.75" customHeight="1" x14ac:dyDescent="0.2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row r="996" spans="1:26" ht="15.75" customHeight="1" x14ac:dyDescent="0.25">
      <c r="A996" s="35"/>
      <c r="B996" s="35"/>
      <c r="C996" s="35"/>
      <c r="D996" s="35"/>
      <c r="E996" s="35"/>
      <c r="F996" s="35"/>
      <c r="G996" s="35"/>
      <c r="H996" s="35"/>
      <c r="I996" s="35"/>
      <c r="J996" s="35"/>
      <c r="K996" s="35"/>
      <c r="L996" s="35"/>
      <c r="M996" s="35"/>
      <c r="N996" s="35"/>
      <c r="O996" s="35"/>
      <c r="P996" s="35"/>
      <c r="Q996" s="35"/>
      <c r="R996" s="35"/>
      <c r="S996" s="35"/>
      <c r="T996" s="35"/>
      <c r="U996" s="35"/>
      <c r="V996" s="35"/>
      <c r="W996" s="35"/>
      <c r="X996" s="35"/>
      <c r="Y996" s="35"/>
      <c r="Z996" s="35"/>
    </row>
    <row r="997" spans="1:26" ht="15.75" customHeight="1" x14ac:dyDescent="0.25">
      <c r="A997" s="35"/>
      <c r="B997" s="35"/>
      <c r="C997" s="35"/>
      <c r="D997" s="35"/>
      <c r="E997" s="35"/>
      <c r="F997" s="35"/>
      <c r="G997" s="35"/>
      <c r="H997" s="35"/>
      <c r="I997" s="35"/>
      <c r="J997" s="35"/>
      <c r="K997" s="35"/>
      <c r="L997" s="35"/>
      <c r="M997" s="35"/>
      <c r="N997" s="35"/>
      <c r="O997" s="35"/>
      <c r="P997" s="35"/>
      <c r="Q997" s="35"/>
      <c r="R997" s="35"/>
      <c r="S997" s="35"/>
      <c r="T997" s="35"/>
      <c r="U997" s="35"/>
      <c r="V997" s="35"/>
      <c r="W997" s="35"/>
      <c r="X997" s="35"/>
      <c r="Y997" s="35"/>
      <c r="Z997" s="35"/>
    </row>
    <row r="998" spans="1:26" ht="15.75" customHeight="1" x14ac:dyDescent="0.25">
      <c r="A998" s="35"/>
      <c r="B998" s="35"/>
      <c r="C998" s="35"/>
      <c r="D998" s="35"/>
      <c r="E998" s="35"/>
      <c r="F998" s="35"/>
      <c r="G998" s="35"/>
      <c r="H998" s="35"/>
      <c r="I998" s="35"/>
      <c r="J998" s="35"/>
      <c r="K998" s="35"/>
      <c r="L998" s="35"/>
      <c r="M998" s="35"/>
      <c r="N998" s="35"/>
      <c r="O998" s="35"/>
      <c r="P998" s="35"/>
      <c r="Q998" s="35"/>
      <c r="R998" s="35"/>
      <c r="S998" s="35"/>
      <c r="T998" s="35"/>
      <c r="U998" s="35"/>
      <c r="V998" s="35"/>
      <c r="W998" s="35"/>
      <c r="X998" s="35"/>
      <c r="Y998" s="35"/>
      <c r="Z998" s="35"/>
    </row>
    <row r="999" spans="1:26" ht="15.75" customHeight="1" x14ac:dyDescent="0.25">
      <c r="A999" s="35"/>
      <c r="B999" s="35"/>
      <c r="C999" s="35"/>
      <c r="D999" s="35"/>
      <c r="E999" s="35"/>
      <c r="F999" s="35"/>
      <c r="G999" s="35"/>
      <c r="H999" s="35"/>
      <c r="I999" s="35"/>
      <c r="J999" s="35"/>
      <c r="K999" s="35"/>
      <c r="L999" s="35"/>
      <c r="M999" s="35"/>
      <c r="N999" s="35"/>
      <c r="O999" s="35"/>
      <c r="P999" s="35"/>
      <c r="Q999" s="35"/>
      <c r="R999" s="35"/>
      <c r="S999" s="35"/>
      <c r="T999" s="35"/>
      <c r="U999" s="35"/>
      <c r="V999" s="35"/>
      <c r="W999" s="35"/>
      <c r="X999" s="35"/>
      <c r="Y999" s="35"/>
      <c r="Z999" s="35"/>
    </row>
    <row r="1000" spans="1:26" ht="15.75" customHeight="1" x14ac:dyDescent="0.25">
      <c r="A1000" s="35"/>
      <c r="B1000" s="35"/>
      <c r="C1000" s="35"/>
      <c r="D1000" s="35"/>
      <c r="E1000" s="35"/>
      <c r="F1000" s="35"/>
      <c r="G1000" s="35"/>
      <c r="H1000" s="35"/>
      <c r="I1000" s="35"/>
      <c r="J1000" s="35"/>
      <c r="K1000" s="35"/>
      <c r="L1000" s="35"/>
      <c r="M1000" s="35"/>
      <c r="N1000" s="35"/>
      <c r="O1000" s="35"/>
      <c r="P1000" s="35"/>
      <c r="Q1000" s="35"/>
      <c r="R1000" s="35"/>
      <c r="S1000" s="35"/>
      <c r="T1000" s="35"/>
      <c r="U1000" s="35"/>
      <c r="V1000" s="35"/>
      <c r="W1000" s="35"/>
      <c r="X1000" s="35"/>
      <c r="Y1000" s="35"/>
      <c r="Z1000" s="35"/>
    </row>
    <row r="1001" spans="1:26" ht="15" customHeight="1" x14ac:dyDescent="0.25">
      <c r="A1001" s="35"/>
      <c r="B1001" s="35"/>
      <c r="C1001" s="35"/>
      <c r="D1001" s="35"/>
      <c r="E1001" s="35"/>
      <c r="F1001" s="35"/>
      <c r="G1001" s="35"/>
      <c r="H1001" s="35"/>
      <c r="I1001" s="35"/>
      <c r="J1001" s="35"/>
      <c r="K1001" s="35"/>
      <c r="L1001" s="35"/>
      <c r="M1001" s="35"/>
      <c r="N1001" s="35"/>
      <c r="O1001" s="35"/>
      <c r="P1001" s="35"/>
      <c r="Q1001" s="35"/>
      <c r="R1001" s="35"/>
      <c r="S1001" s="35"/>
      <c r="T1001" s="35"/>
      <c r="U1001" s="35"/>
      <c r="V1001" s="35"/>
      <c r="W1001" s="35"/>
      <c r="X1001" s="35"/>
      <c r="Y1001" s="35"/>
      <c r="Z1001" s="35"/>
    </row>
    <row r="1002" spans="1:26" ht="15" customHeight="1" x14ac:dyDescent="0.25">
      <c r="A1002" s="35"/>
      <c r="B1002" s="35"/>
      <c r="C1002" s="35"/>
      <c r="D1002" s="35"/>
      <c r="E1002" s="35"/>
      <c r="F1002" s="35"/>
      <c r="G1002" s="35"/>
      <c r="H1002" s="35"/>
      <c r="I1002" s="35"/>
      <c r="J1002" s="35"/>
      <c r="K1002" s="35"/>
      <c r="L1002" s="35"/>
      <c r="M1002" s="35"/>
      <c r="N1002" s="35"/>
      <c r="O1002" s="35"/>
      <c r="P1002" s="35"/>
      <c r="Q1002" s="35"/>
      <c r="R1002" s="35"/>
      <c r="S1002" s="35"/>
      <c r="T1002" s="35"/>
      <c r="U1002" s="35"/>
      <c r="V1002" s="35"/>
      <c r="W1002" s="35"/>
      <c r="X1002" s="35"/>
      <c r="Y1002" s="35"/>
      <c r="Z1002" s="35"/>
    </row>
    <row r="1003" spans="1:26" ht="15" customHeight="1" x14ac:dyDescent="0.25">
      <c r="A1003" s="35"/>
      <c r="B1003" s="35"/>
      <c r="C1003" s="35"/>
      <c r="D1003" s="35"/>
      <c r="E1003" s="35"/>
      <c r="F1003" s="35"/>
      <c r="G1003" s="35"/>
      <c r="H1003" s="35"/>
      <c r="I1003" s="35"/>
      <c r="J1003" s="35"/>
      <c r="K1003" s="35"/>
      <c r="L1003" s="35"/>
      <c r="M1003" s="35"/>
      <c r="N1003" s="35"/>
      <c r="O1003" s="35"/>
      <c r="P1003" s="35"/>
      <c r="Q1003" s="35"/>
      <c r="R1003" s="35"/>
      <c r="S1003" s="35"/>
      <c r="T1003" s="35"/>
      <c r="U1003" s="35"/>
      <c r="V1003" s="35"/>
      <c r="W1003" s="35"/>
      <c r="X1003" s="35"/>
      <c r="Y1003" s="35"/>
      <c r="Z1003" s="35"/>
    </row>
    <row r="1004" spans="1:26" ht="15" customHeight="1" x14ac:dyDescent="0.25">
      <c r="A1004" s="35"/>
      <c r="B1004" s="35"/>
      <c r="C1004" s="35"/>
      <c r="D1004" s="35"/>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row>
    <row r="1005" spans="1:26" ht="15" customHeight="1" x14ac:dyDescent="0.25">
      <c r="A1005" s="35"/>
      <c r="B1005" s="35"/>
      <c r="C1005" s="35"/>
      <c r="D1005" s="35"/>
      <c r="E1005" s="35"/>
      <c r="F1005" s="35"/>
      <c r="G1005" s="35"/>
      <c r="H1005" s="35"/>
      <c r="I1005" s="35"/>
      <c r="J1005" s="35"/>
      <c r="K1005" s="35"/>
      <c r="L1005" s="35"/>
      <c r="M1005" s="35"/>
      <c r="N1005" s="35"/>
      <c r="O1005" s="35"/>
      <c r="P1005" s="35"/>
      <c r="Q1005" s="35"/>
      <c r="R1005" s="35"/>
      <c r="S1005" s="35"/>
      <c r="T1005" s="35"/>
      <c r="U1005" s="35"/>
      <c r="V1005" s="35"/>
      <c r="W1005" s="35"/>
      <c r="X1005" s="35"/>
      <c r="Y1005" s="35"/>
      <c r="Z1005" s="35"/>
    </row>
    <row r="1006" spans="1:26" ht="15" customHeight="1" x14ac:dyDescent="0.25">
      <c r="A1006" s="35"/>
      <c r="B1006" s="35"/>
      <c r="C1006" s="35"/>
      <c r="D1006" s="35"/>
      <c r="E1006" s="35"/>
      <c r="F1006" s="35"/>
      <c r="G1006" s="35"/>
      <c r="H1006" s="35"/>
      <c r="I1006" s="35"/>
      <c r="J1006" s="35"/>
      <c r="K1006" s="35"/>
      <c r="L1006" s="35"/>
      <c r="M1006" s="35"/>
      <c r="N1006" s="35"/>
      <c r="O1006" s="35"/>
      <c r="P1006" s="35"/>
      <c r="Q1006" s="35"/>
      <c r="R1006" s="35"/>
      <c r="S1006" s="35"/>
      <c r="T1006" s="35"/>
      <c r="U1006" s="35"/>
      <c r="V1006" s="35"/>
      <c r="W1006" s="35"/>
      <c r="X1006" s="35"/>
      <c r="Y1006" s="35"/>
      <c r="Z1006" s="35"/>
    </row>
    <row r="1007" spans="1:26" ht="15" customHeight="1" x14ac:dyDescent="0.25">
      <c r="A1007" s="35"/>
      <c r="B1007" s="35"/>
      <c r="C1007" s="35"/>
      <c r="D1007" s="35"/>
      <c r="E1007" s="35"/>
      <c r="F1007" s="35"/>
      <c r="G1007" s="35"/>
      <c r="H1007" s="35"/>
      <c r="I1007" s="35"/>
      <c r="J1007" s="35"/>
      <c r="K1007" s="35"/>
      <c r="L1007" s="35"/>
      <c r="M1007" s="35"/>
      <c r="N1007" s="35"/>
      <c r="O1007" s="35"/>
      <c r="P1007" s="35"/>
      <c r="Q1007" s="35"/>
      <c r="R1007" s="35"/>
      <c r="S1007" s="35"/>
      <c r="T1007" s="35"/>
      <c r="U1007" s="35"/>
      <c r="V1007" s="35"/>
      <c r="W1007" s="35"/>
      <c r="X1007" s="35"/>
      <c r="Y1007" s="35"/>
      <c r="Z1007" s="35"/>
    </row>
    <row r="1008" spans="1:26" ht="15" customHeight="1" x14ac:dyDescent="0.25">
      <c r="A1008" s="35"/>
      <c r="B1008" s="35"/>
      <c r="C1008" s="35"/>
      <c r="D1008" s="35"/>
      <c r="E1008" s="35"/>
      <c r="F1008" s="35"/>
      <c r="G1008" s="35"/>
      <c r="H1008" s="35"/>
      <c r="I1008" s="35"/>
      <c r="J1008" s="35"/>
      <c r="K1008" s="35"/>
      <c r="L1008" s="35"/>
      <c r="M1008" s="35"/>
      <c r="N1008" s="35"/>
      <c r="O1008" s="35"/>
      <c r="P1008" s="35"/>
      <c r="Q1008" s="35"/>
      <c r="R1008" s="35"/>
      <c r="S1008" s="35"/>
      <c r="T1008" s="35"/>
      <c r="U1008" s="35"/>
      <c r="V1008" s="35"/>
      <c r="W1008" s="35"/>
      <c r="X1008" s="35"/>
      <c r="Y1008" s="35"/>
      <c r="Z1008" s="35"/>
    </row>
    <row r="1009" spans="1:26" ht="15" customHeight="1" x14ac:dyDescent="0.25">
      <c r="A1009" s="35"/>
      <c r="B1009" s="35"/>
      <c r="C1009" s="35"/>
      <c r="D1009" s="35"/>
      <c r="E1009" s="35"/>
      <c r="F1009" s="35"/>
      <c r="G1009" s="35"/>
      <c r="H1009" s="35"/>
      <c r="I1009" s="35"/>
      <c r="J1009" s="35"/>
      <c r="K1009" s="35"/>
      <c r="L1009" s="35"/>
      <c r="M1009" s="35"/>
      <c r="N1009" s="35"/>
      <c r="O1009" s="35"/>
      <c r="P1009" s="35"/>
      <c r="Q1009" s="35"/>
      <c r="R1009" s="35"/>
      <c r="S1009" s="35"/>
      <c r="T1009" s="35"/>
      <c r="U1009" s="35"/>
      <c r="V1009" s="35"/>
      <c r="W1009" s="35"/>
      <c r="X1009" s="35"/>
      <c r="Y1009" s="35"/>
      <c r="Z1009" s="35"/>
    </row>
    <row r="1010" spans="1:26" ht="15" customHeight="1" x14ac:dyDescent="0.25">
      <c r="A1010" s="35"/>
      <c r="B1010" s="35"/>
      <c r="C1010" s="35"/>
      <c r="D1010" s="35"/>
      <c r="E1010" s="35"/>
      <c r="F1010" s="35"/>
      <c r="G1010" s="35"/>
      <c r="H1010" s="35"/>
      <c r="I1010" s="35"/>
      <c r="J1010" s="35"/>
      <c r="K1010" s="35"/>
      <c r="L1010" s="35"/>
      <c r="M1010" s="35"/>
      <c r="N1010" s="35"/>
      <c r="O1010" s="35"/>
      <c r="P1010" s="35"/>
      <c r="Q1010" s="35"/>
      <c r="R1010" s="35"/>
      <c r="S1010" s="35"/>
      <c r="T1010" s="35"/>
      <c r="U1010" s="35"/>
      <c r="V1010" s="35"/>
      <c r="W1010" s="35"/>
      <c r="X1010" s="35"/>
      <c r="Y1010" s="35"/>
      <c r="Z1010" s="35"/>
    </row>
    <row r="1011" spans="1:26" ht="15" customHeight="1" x14ac:dyDescent="0.25">
      <c r="A1011" s="35"/>
      <c r="B1011" s="35"/>
      <c r="C1011" s="35"/>
      <c r="D1011" s="35"/>
      <c r="E1011" s="35"/>
      <c r="F1011" s="35"/>
      <c r="G1011" s="35"/>
      <c r="H1011" s="35"/>
      <c r="I1011" s="35"/>
      <c r="J1011" s="35"/>
      <c r="K1011" s="35"/>
      <c r="L1011" s="35"/>
      <c r="M1011" s="35"/>
      <c r="N1011" s="35"/>
      <c r="O1011" s="35"/>
      <c r="P1011" s="35"/>
      <c r="Q1011" s="35"/>
      <c r="R1011" s="35"/>
      <c r="S1011" s="35"/>
      <c r="T1011" s="35"/>
      <c r="U1011" s="35"/>
      <c r="V1011" s="35"/>
      <c r="W1011" s="35"/>
      <c r="X1011" s="35"/>
      <c r="Y1011" s="35"/>
      <c r="Z1011" s="35"/>
    </row>
    <row r="1012" spans="1:26" ht="15" customHeight="1" x14ac:dyDescent="0.25">
      <c r="A1012" s="35"/>
      <c r="B1012" s="35"/>
      <c r="C1012" s="35"/>
      <c r="D1012" s="35"/>
      <c r="E1012" s="35"/>
      <c r="F1012" s="35"/>
      <c r="G1012" s="35"/>
      <c r="H1012" s="35"/>
      <c r="I1012" s="35"/>
      <c r="J1012" s="35"/>
      <c r="K1012" s="35"/>
      <c r="L1012" s="35"/>
      <c r="M1012" s="35"/>
      <c r="N1012" s="35"/>
      <c r="O1012" s="35"/>
      <c r="P1012" s="35"/>
      <c r="Q1012" s="35"/>
      <c r="R1012" s="35"/>
      <c r="S1012" s="35"/>
      <c r="T1012" s="35"/>
      <c r="U1012" s="35"/>
      <c r="V1012" s="35"/>
      <c r="W1012" s="35"/>
      <c r="X1012" s="35"/>
      <c r="Y1012" s="35"/>
      <c r="Z1012" s="35"/>
    </row>
    <row r="1013" spans="1:26" ht="15" customHeight="1" x14ac:dyDescent="0.25">
      <c r="A1013" s="35"/>
      <c r="B1013" s="35"/>
      <c r="C1013" s="35"/>
      <c r="D1013" s="35"/>
      <c r="E1013" s="35"/>
      <c r="F1013" s="35"/>
      <c r="G1013" s="35"/>
      <c r="H1013" s="35"/>
      <c r="I1013" s="35"/>
      <c r="J1013" s="35"/>
      <c r="K1013" s="35"/>
      <c r="L1013" s="35"/>
      <c r="M1013" s="35"/>
      <c r="N1013" s="35"/>
      <c r="O1013" s="35"/>
      <c r="P1013" s="35"/>
      <c r="Q1013" s="35"/>
      <c r="R1013" s="35"/>
      <c r="S1013" s="35"/>
      <c r="T1013" s="35"/>
      <c r="U1013" s="35"/>
      <c r="V1013" s="35"/>
      <c r="W1013" s="35"/>
      <c r="X1013" s="35"/>
      <c r="Y1013" s="35"/>
      <c r="Z1013" s="35"/>
    </row>
    <row r="1014" spans="1:26" ht="15" customHeight="1" x14ac:dyDescent="0.25">
      <c r="A1014" s="35"/>
      <c r="B1014" s="35"/>
      <c r="C1014" s="35"/>
      <c r="D1014" s="35"/>
      <c r="E1014" s="35"/>
      <c r="F1014" s="35"/>
      <c r="G1014" s="35"/>
      <c r="H1014" s="35"/>
      <c r="I1014" s="35"/>
      <c r="J1014" s="35"/>
      <c r="K1014" s="35"/>
      <c r="L1014" s="35"/>
      <c r="M1014" s="35"/>
      <c r="N1014" s="35"/>
      <c r="O1014" s="35"/>
      <c r="P1014" s="35"/>
      <c r="Q1014" s="35"/>
      <c r="R1014" s="35"/>
      <c r="S1014" s="35"/>
      <c r="T1014" s="35"/>
      <c r="U1014" s="35"/>
      <c r="V1014" s="35"/>
      <c r="W1014" s="35"/>
      <c r="X1014" s="35"/>
      <c r="Y1014" s="35"/>
      <c r="Z1014" s="35"/>
    </row>
    <row r="1015" spans="1:26" ht="15" customHeight="1" x14ac:dyDescent="0.25">
      <c r="A1015" s="35"/>
      <c r="B1015" s="35"/>
      <c r="C1015" s="35"/>
      <c r="D1015" s="35"/>
      <c r="E1015" s="35"/>
      <c r="F1015" s="35"/>
      <c r="G1015" s="35"/>
      <c r="H1015" s="35"/>
      <c r="I1015" s="35"/>
      <c r="J1015" s="35"/>
      <c r="K1015" s="35"/>
      <c r="L1015" s="35"/>
      <c r="M1015" s="35"/>
      <c r="N1015" s="35"/>
      <c r="O1015" s="35"/>
      <c r="P1015" s="35"/>
      <c r="Q1015" s="35"/>
      <c r="R1015" s="35"/>
      <c r="S1015" s="35"/>
      <c r="T1015" s="35"/>
      <c r="U1015" s="35"/>
      <c r="V1015" s="35"/>
      <c r="W1015" s="35"/>
      <c r="X1015" s="35"/>
      <c r="Y1015" s="35"/>
      <c r="Z1015" s="35"/>
    </row>
    <row r="1016" spans="1:26" ht="15" customHeight="1" x14ac:dyDescent="0.25">
      <c r="A1016" s="35"/>
      <c r="B1016" s="35"/>
      <c r="C1016" s="35"/>
      <c r="D1016" s="35"/>
      <c r="E1016" s="35"/>
      <c r="F1016" s="35"/>
      <c r="G1016" s="35"/>
      <c r="H1016" s="35"/>
      <c r="I1016" s="35"/>
      <c r="J1016" s="35"/>
      <c r="K1016" s="35"/>
      <c r="L1016" s="35"/>
      <c r="M1016" s="35"/>
      <c r="N1016" s="35"/>
      <c r="O1016" s="35"/>
      <c r="P1016" s="35"/>
      <c r="Q1016" s="35"/>
      <c r="R1016" s="35"/>
      <c r="S1016" s="35"/>
      <c r="T1016" s="35"/>
      <c r="U1016" s="35"/>
      <c r="V1016" s="35"/>
      <c r="W1016" s="35"/>
      <c r="X1016" s="35"/>
      <c r="Y1016" s="35"/>
      <c r="Z1016" s="35"/>
    </row>
    <row r="1017" spans="1:26" ht="15" customHeight="1" x14ac:dyDescent="0.25">
      <c r="A1017" s="35"/>
      <c r="B1017" s="35"/>
      <c r="C1017" s="35"/>
      <c r="D1017" s="35"/>
      <c r="E1017" s="35"/>
      <c r="F1017" s="35"/>
      <c r="G1017" s="35"/>
      <c r="H1017" s="35"/>
      <c r="I1017" s="35"/>
      <c r="J1017" s="35"/>
      <c r="K1017" s="35"/>
      <c r="L1017" s="35"/>
      <c r="M1017" s="35"/>
      <c r="N1017" s="35"/>
      <c r="O1017" s="35"/>
      <c r="P1017" s="35"/>
      <c r="Q1017" s="35"/>
      <c r="R1017" s="35"/>
      <c r="S1017" s="35"/>
      <c r="T1017" s="35"/>
      <c r="U1017" s="35"/>
      <c r="V1017" s="35"/>
      <c r="W1017" s="35"/>
      <c r="X1017" s="35"/>
      <c r="Y1017" s="35"/>
      <c r="Z1017" s="35"/>
    </row>
    <row r="1018" spans="1:26" ht="15" customHeight="1" x14ac:dyDescent="0.25">
      <c r="A1018" s="35"/>
      <c r="B1018" s="35"/>
      <c r="C1018" s="35"/>
      <c r="D1018" s="35"/>
      <c r="E1018" s="35"/>
      <c r="F1018" s="35"/>
      <c r="G1018" s="35"/>
      <c r="H1018" s="35"/>
      <c r="I1018" s="35"/>
      <c r="J1018" s="35"/>
      <c r="K1018" s="35"/>
      <c r="L1018" s="35"/>
      <c r="M1018" s="35"/>
      <c r="N1018" s="35"/>
      <c r="O1018" s="35"/>
      <c r="P1018" s="35"/>
      <c r="Q1018" s="35"/>
      <c r="R1018" s="35"/>
      <c r="S1018" s="35"/>
      <c r="T1018" s="35"/>
      <c r="U1018" s="35"/>
      <c r="V1018" s="35"/>
      <c r="W1018" s="35"/>
      <c r="X1018" s="35"/>
      <c r="Y1018" s="35"/>
      <c r="Z1018" s="35"/>
    </row>
    <row r="1019" spans="1:26" ht="15" customHeight="1" x14ac:dyDescent="0.25">
      <c r="A1019" s="35"/>
      <c r="B1019" s="35"/>
      <c r="C1019" s="35"/>
      <c r="D1019" s="35"/>
      <c r="E1019" s="35"/>
      <c r="F1019" s="35"/>
      <c r="G1019" s="35"/>
      <c r="H1019" s="35"/>
      <c r="I1019" s="35"/>
      <c r="J1019" s="35"/>
      <c r="K1019" s="35"/>
      <c r="L1019" s="35"/>
      <c r="M1019" s="35"/>
      <c r="N1019" s="35"/>
      <c r="O1019" s="35"/>
      <c r="P1019" s="35"/>
      <c r="Q1019" s="35"/>
      <c r="R1019" s="35"/>
      <c r="S1019" s="35"/>
      <c r="T1019" s="35"/>
      <c r="U1019" s="35"/>
      <c r="V1019" s="35"/>
      <c r="W1019" s="35"/>
      <c r="X1019" s="35"/>
      <c r="Y1019" s="35"/>
      <c r="Z1019" s="35"/>
    </row>
    <row r="1020" spans="1:26" ht="15" customHeight="1" x14ac:dyDescent="0.25">
      <c r="A1020" s="35"/>
      <c r="B1020" s="35"/>
      <c r="C1020" s="35"/>
      <c r="D1020" s="35"/>
      <c r="E1020" s="35"/>
      <c r="F1020" s="35"/>
      <c r="G1020" s="35"/>
      <c r="H1020" s="35"/>
      <c r="I1020" s="35"/>
      <c r="J1020" s="35"/>
      <c r="K1020" s="35"/>
      <c r="L1020" s="35"/>
      <c r="M1020" s="35"/>
      <c r="N1020" s="35"/>
      <c r="O1020" s="35"/>
      <c r="P1020" s="35"/>
      <c r="Q1020" s="35"/>
      <c r="R1020" s="35"/>
      <c r="S1020" s="35"/>
      <c r="T1020" s="35"/>
      <c r="U1020" s="35"/>
      <c r="V1020" s="35"/>
      <c r="W1020" s="35"/>
      <c r="X1020" s="35"/>
      <c r="Y1020" s="35"/>
      <c r="Z1020" s="35"/>
    </row>
  </sheetData>
  <mergeCells count="64">
    <mergeCell ref="E61:O62"/>
    <mergeCell ref="H57:J59"/>
    <mergeCell ref="B69:P69"/>
    <mergeCell ref="C64:D66"/>
    <mergeCell ref="E64:H66"/>
    <mergeCell ref="J64:K66"/>
    <mergeCell ref="L64:O66"/>
    <mergeCell ref="C61:D62"/>
    <mergeCell ref="C57:C59"/>
    <mergeCell ref="D57:E59"/>
    <mergeCell ref="G57:G59"/>
    <mergeCell ref="L57:L59"/>
    <mergeCell ref="M57:O59"/>
    <mergeCell ref="L36:L38"/>
    <mergeCell ref="M36:O38"/>
    <mergeCell ref="C36:C38"/>
    <mergeCell ref="E30:F30"/>
    <mergeCell ref="H30:I30"/>
    <mergeCell ref="E31:F31"/>
    <mergeCell ref="H31:I31"/>
    <mergeCell ref="E33:F33"/>
    <mergeCell ref="H33:I33"/>
    <mergeCell ref="H34:I34"/>
    <mergeCell ref="E34:F34"/>
    <mergeCell ref="D36:E38"/>
    <mergeCell ref="G36:G38"/>
    <mergeCell ref="H36:J38"/>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E43:H45"/>
    <mergeCell ref="J43:K45"/>
    <mergeCell ref="E40:O41"/>
    <mergeCell ref="C40:D41"/>
    <mergeCell ref="C43:D45"/>
    <mergeCell ref="L43:O45"/>
    <mergeCell ref="E54:F54"/>
    <mergeCell ref="H54:I54"/>
    <mergeCell ref="E55:F55"/>
    <mergeCell ref="H55:I55"/>
    <mergeCell ref="B48:P48"/>
    <mergeCell ref="E51:F51"/>
    <mergeCell ref="E52:F52"/>
    <mergeCell ref="H51:I51"/>
    <mergeCell ref="H52:I52"/>
  </mergeCells>
  <conditionalFormatting sqref="H10:I11 H31:I32 H52">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HU'!$B$6:$B$21</xm:f>
          </x14:formula1>
          <xm:sqref>C10:C11 C31:C32 C52:C53 C74:C76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Matias Intriago</cp:lastModifiedBy>
  <cp:revision/>
  <dcterms:created xsi:type="dcterms:W3CDTF">2019-10-21T15:37:14Z</dcterms:created>
  <dcterms:modified xsi:type="dcterms:W3CDTF">2025-12-29T02:04:18Z</dcterms:modified>
  <cp:category/>
  <cp:contentStatus/>
</cp:coreProperties>
</file>