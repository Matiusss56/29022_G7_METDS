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amer\Desktop\Correccion Met. software\"/>
    </mc:Choice>
  </mc:AlternateContent>
  <xr:revisionPtr revIDLastSave="0" documentId="13_ncr:1_{DACDF5BC-1C09-4845-BE90-9EA6DFB0368E}" xr6:coauthVersionLast="47" xr6:coauthVersionMax="47" xr10:uidLastSave="{00000000-0000-0000-0000-000000000000}"/>
  <workbookProtection lockStructure="1"/>
  <bookViews>
    <workbookView minimized="1" xWindow="2304" yWindow="1236" windowWidth="17280" windowHeight="10812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F2" i="3" l="1"/>
  <c r="H58" i="2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D59" i="5" s="1" a="1"/>
  <c r="D59" i="5" s="1"/>
  <c r="I58" i="2" a="1"/>
  <c r="I58" i="2" s="1"/>
  <c r="D58" i="5" s="1" a="1"/>
  <c r="D58" i="5" s="1"/>
  <c r="H56" i="2"/>
  <c r="I55" i="2" a="1"/>
  <c r="I55" i="2" s="1"/>
  <c r="I60" i="2" a="1"/>
  <c r="I60" i="2" s="1"/>
  <c r="D60" i="5" s="1" a="1"/>
  <c r="D60" i="5" s="1"/>
  <c r="H60" i="2"/>
  <c r="I59" i="2" a="1"/>
  <c r="I59" i="2" s="1"/>
  <c r="H53" i="2"/>
  <c r="I52" i="2" a="1"/>
  <c r="I52" i="2" s="1"/>
  <c r="I53" i="2" a="1"/>
  <c r="I53" i="2" s="1"/>
  <c r="D53" i="5" s="1" a="1"/>
  <c r="D53" i="5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7" i="5" l="1" a="1"/>
  <c r="D57" i="5" s="1"/>
  <c r="D51" i="5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33" i="5"/>
  <c r="G15" i="5"/>
  <c r="G62" i="5"/>
  <c r="G53" i="5"/>
  <c r="G26" i="5"/>
  <c r="G58" i="5"/>
  <c r="G54" i="5"/>
  <c r="G96" i="5"/>
  <c r="G38" i="5"/>
  <c r="G51" i="5"/>
  <c r="G81" i="5"/>
  <c r="G85" i="5"/>
  <c r="G75" i="5"/>
  <c r="G90" i="5"/>
  <c r="G22" i="5"/>
  <c r="G39" i="5"/>
  <c r="G97" i="5"/>
  <c r="G7" i="5"/>
  <c r="G89" i="5"/>
  <c r="G3" i="5"/>
  <c r="G40" i="5"/>
  <c r="G87" i="5"/>
  <c r="G76" i="5"/>
  <c r="G61" i="5"/>
  <c r="G91" i="5"/>
  <c r="G31" i="5"/>
  <c r="G41" i="5"/>
  <c r="G2" i="5"/>
  <c r="G16" i="5"/>
  <c r="G63" i="5"/>
  <c r="G82" i="5"/>
  <c r="G57" i="5"/>
  <c r="G78" i="5"/>
  <c r="G29" i="5"/>
  <c r="G14" i="5"/>
  <c r="G23" i="5"/>
  <c r="G56" i="5"/>
  <c r="G67" i="5"/>
  <c r="G84" i="5"/>
  <c r="G95" i="5"/>
  <c r="G68" i="5"/>
  <c r="G94" i="5"/>
  <c r="G30" i="5"/>
  <c r="G74" i="5"/>
  <c r="G37" i="5"/>
  <c r="G6" i="5"/>
  <c r="G18" i="5"/>
  <c r="G72" i="5"/>
  <c r="G17" i="5"/>
  <c r="G101" i="5"/>
  <c r="G44" i="5"/>
  <c r="G25" i="5"/>
  <c r="G64" i="5"/>
  <c r="G28" i="5"/>
  <c r="G45" i="5"/>
  <c r="G73" i="5"/>
  <c r="G66" i="5"/>
  <c r="G60" i="5"/>
  <c r="G42" i="5"/>
  <c r="G21" i="5"/>
  <c r="G11" i="5"/>
  <c r="G80" i="5"/>
  <c r="G32" i="5"/>
  <c r="G99" i="5"/>
  <c r="G70" i="5"/>
  <c r="G55" i="5"/>
  <c r="G98" i="5"/>
  <c r="G35" i="5"/>
  <c r="G71" i="5"/>
  <c r="G49" i="5"/>
  <c r="G5" i="5"/>
  <c r="G65" i="5"/>
  <c r="G8" i="5"/>
  <c r="G86" i="5"/>
  <c r="G13" i="5"/>
  <c r="G48" i="5"/>
  <c r="G20" i="5"/>
  <c r="G50" i="5"/>
  <c r="G27" i="5"/>
  <c r="G59" i="5"/>
  <c r="G77" i="5"/>
  <c r="G52" i="5"/>
  <c r="G10" i="5"/>
  <c r="G9" i="5"/>
  <c r="G12" i="5"/>
  <c r="G47" i="5"/>
  <c r="G100" i="5"/>
  <c r="G34" i="5"/>
  <c r="G79" i="5"/>
  <c r="G46" i="5"/>
  <c r="G69" i="5"/>
  <c r="G83" i="5"/>
  <c r="G19" i="5"/>
  <c r="G43" i="5"/>
  <c r="G88" i="5"/>
  <c r="G4" i="5"/>
  <c r="G93" i="5"/>
  <c r="G24" i="5"/>
  <c r="G36" i="5"/>
  <c r="G92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M5" i="5"/>
  <c r="E77" i="5"/>
  <c r="E85" i="5"/>
  <c r="N13" i="5"/>
  <c r="M79" i="5"/>
  <c r="M10" i="5"/>
  <c r="E33" i="5"/>
  <c r="M73" i="5"/>
  <c r="E34" i="5"/>
  <c r="M41" i="5"/>
  <c r="E40" i="5"/>
  <c r="N40" i="5"/>
  <c r="E6" i="5"/>
  <c r="E55" i="5"/>
  <c r="M87" i="5"/>
  <c r="N86" i="5"/>
  <c r="N16" i="5"/>
  <c r="N95" i="5"/>
  <c r="E12" i="5"/>
  <c r="E4" i="5"/>
  <c r="E80" i="5"/>
  <c r="E41" i="5"/>
  <c r="M2" i="5"/>
  <c r="N32" i="5"/>
  <c r="E22" i="5"/>
  <c r="M16" i="5"/>
  <c r="E20" i="5"/>
  <c r="M6" i="5"/>
  <c r="M13" i="5"/>
  <c r="N31" i="5"/>
  <c r="E29" i="5"/>
  <c r="N45" i="5"/>
  <c r="M42" i="5"/>
  <c r="M69" i="5"/>
  <c r="M43" i="5"/>
  <c r="E72" i="5"/>
  <c r="N97" i="5"/>
  <c r="E24" i="5"/>
  <c r="M90" i="5"/>
  <c r="E15" i="5"/>
  <c r="M82" i="5"/>
  <c r="M29" i="5"/>
  <c r="E69" i="5"/>
  <c r="E74" i="5"/>
  <c r="N48" i="5"/>
  <c r="M75" i="5"/>
  <c r="E94" i="5"/>
  <c r="E91" i="5"/>
  <c r="M85" i="5"/>
  <c r="M52" i="5"/>
  <c r="E71" i="5"/>
  <c r="M46" i="5"/>
  <c r="N29" i="5"/>
  <c r="N71" i="5"/>
  <c r="M20" i="5"/>
  <c r="E78" i="5"/>
  <c r="M76" i="5"/>
  <c r="N75" i="5"/>
  <c r="M100" i="5"/>
  <c r="E31" i="5"/>
  <c r="E49" i="5"/>
  <c r="N56" i="5"/>
  <c r="N52" i="5"/>
  <c r="M98" i="5"/>
  <c r="M74" i="5"/>
  <c r="E47" i="5"/>
  <c r="M7" i="5"/>
  <c r="E60" i="5"/>
  <c r="E76" i="5"/>
  <c r="M96" i="5"/>
  <c r="M37" i="5"/>
  <c r="E16" i="5"/>
  <c r="E64" i="5"/>
  <c r="M71" i="5"/>
  <c r="N46" i="5"/>
  <c r="N27" i="5"/>
  <c r="E13" i="5"/>
  <c r="N85" i="5"/>
  <c r="M51" i="5"/>
  <c r="E3" i="5"/>
  <c r="M89" i="5"/>
  <c r="M49" i="5"/>
  <c r="E44" i="5"/>
  <c r="N2" i="5"/>
  <c r="M70" i="5"/>
  <c r="M40" i="5"/>
  <c r="E54" i="5"/>
  <c r="E48" i="5"/>
  <c r="E56" i="5"/>
  <c r="N4" i="5"/>
  <c r="M15" i="5"/>
  <c r="N37" i="5"/>
  <c r="M48" i="5"/>
  <c r="E87" i="5"/>
  <c r="M60" i="5"/>
  <c r="M86" i="5"/>
  <c r="E11" i="5"/>
  <c r="E30" i="5"/>
  <c r="E82" i="5"/>
  <c r="N100" i="5"/>
  <c r="N9" i="5"/>
  <c r="N55" i="5"/>
  <c r="N73" i="5"/>
  <c r="E68" i="5"/>
  <c r="N61" i="5"/>
  <c r="E97" i="5"/>
  <c r="E66" i="5"/>
  <c r="N87" i="5"/>
  <c r="N65" i="5"/>
  <c r="M68" i="5"/>
  <c r="N69" i="5"/>
  <c r="E37" i="5"/>
  <c r="M30" i="5"/>
  <c r="E58" i="5"/>
  <c r="M58" i="5"/>
  <c r="M81" i="5"/>
  <c r="N21" i="5"/>
  <c r="N94" i="5"/>
  <c r="N96" i="5"/>
  <c r="M8" i="5"/>
  <c r="E83" i="5"/>
  <c r="N63" i="5"/>
  <c r="M25" i="5"/>
  <c r="N78" i="5"/>
  <c r="N90" i="5"/>
  <c r="E51" i="5"/>
  <c r="N88" i="5"/>
  <c r="E10" i="5"/>
  <c r="N70" i="5"/>
  <c r="M28" i="5"/>
  <c r="N83" i="5"/>
  <c r="E57" i="5"/>
  <c r="E53" i="5"/>
  <c r="E73" i="5"/>
  <c r="N68" i="5"/>
  <c r="N76" i="5"/>
  <c r="N59" i="5"/>
  <c r="M95" i="5"/>
  <c r="E59" i="5"/>
  <c r="E35" i="5"/>
  <c r="N79" i="5"/>
  <c r="N82" i="5"/>
  <c r="M97" i="5"/>
  <c r="N25" i="5"/>
  <c r="M65" i="5"/>
  <c r="M44" i="5"/>
  <c r="E95" i="5"/>
  <c r="M19" i="5"/>
  <c r="N53" i="5"/>
  <c r="M45" i="5"/>
  <c r="E17" i="5"/>
  <c r="M88" i="5"/>
  <c r="N11" i="5"/>
  <c r="N91" i="5"/>
  <c r="E27" i="5"/>
  <c r="M83" i="5"/>
  <c r="N26" i="5"/>
  <c r="M47" i="5"/>
  <c r="M17" i="5"/>
  <c r="N98" i="5"/>
  <c r="M9" i="5"/>
  <c r="E46" i="5"/>
  <c r="N58" i="5"/>
  <c r="M4" i="5"/>
  <c r="M31" i="5"/>
  <c r="E89" i="5"/>
  <c r="N44" i="5"/>
  <c r="N49" i="5"/>
  <c r="E5" i="5"/>
  <c r="E96" i="5"/>
  <c r="N89" i="5"/>
  <c r="E61" i="5"/>
  <c r="E26" i="5"/>
  <c r="N14" i="5"/>
  <c r="M26" i="5"/>
  <c r="N15" i="5"/>
  <c r="N8" i="5"/>
  <c r="N20" i="5"/>
  <c r="M99" i="5"/>
  <c r="N101" i="5"/>
  <c r="E28" i="5"/>
  <c r="E42" i="5"/>
  <c r="E45" i="5"/>
  <c r="E50" i="5"/>
  <c r="N28" i="5"/>
  <c r="E63" i="5"/>
  <c r="E7" i="5"/>
  <c r="E21" i="5"/>
  <c r="N12" i="5"/>
  <c r="E67" i="5"/>
  <c r="N22" i="5"/>
  <c r="N18" i="5"/>
  <c r="M18" i="5"/>
  <c r="M55" i="5"/>
  <c r="N62" i="5"/>
  <c r="N93" i="5"/>
  <c r="M24" i="5"/>
  <c r="M91" i="5"/>
  <c r="E65" i="5"/>
  <c r="M3" i="5"/>
  <c r="E84" i="5"/>
  <c r="M35" i="5"/>
  <c r="E32" i="5"/>
  <c r="N67" i="5"/>
  <c r="E70" i="5"/>
  <c r="M80" i="5"/>
  <c r="M93" i="5"/>
  <c r="N54" i="5"/>
  <c r="M14" i="5"/>
  <c r="M39" i="5"/>
  <c r="N3" i="5"/>
  <c r="M27" i="5"/>
  <c r="N50" i="5"/>
  <c r="E38" i="5"/>
  <c r="N43" i="5"/>
  <c r="N80" i="5"/>
  <c r="N41" i="5"/>
  <c r="M33" i="5"/>
  <c r="E52" i="5"/>
  <c r="E43" i="5"/>
  <c r="M72" i="5"/>
  <c r="M63" i="5"/>
  <c r="M67" i="5"/>
  <c r="M101" i="5"/>
  <c r="N33" i="5"/>
  <c r="N51" i="5"/>
  <c r="N57" i="5"/>
  <c r="M53" i="5"/>
  <c r="N74" i="5"/>
  <c r="E100" i="5"/>
  <c r="M23" i="5"/>
  <c r="E86" i="5"/>
  <c r="E93" i="5"/>
  <c r="M22" i="5"/>
  <c r="E88" i="5"/>
  <c r="N24" i="5"/>
  <c r="M64" i="5"/>
  <c r="M50" i="5"/>
  <c r="M62" i="5"/>
  <c r="M56" i="5"/>
  <c r="E99" i="5"/>
  <c r="N60" i="5"/>
  <c r="M84" i="5"/>
  <c r="N10" i="5"/>
  <c r="E19" i="5"/>
  <c r="N42" i="5"/>
  <c r="M12" i="5"/>
  <c r="E9" i="5"/>
  <c r="N72" i="5"/>
  <c r="M78" i="5"/>
  <c r="E8" i="5"/>
  <c r="N39" i="5"/>
  <c r="N81" i="5"/>
  <c r="E36" i="5"/>
  <c r="M36" i="5"/>
  <c r="M61" i="5"/>
  <c r="N30" i="5"/>
  <c r="M94" i="5"/>
  <c r="M66" i="5"/>
  <c r="N5" i="5"/>
  <c r="E90" i="5"/>
  <c r="E79" i="5"/>
  <c r="N6" i="5"/>
  <c r="N34" i="5"/>
  <c r="E25" i="5"/>
  <c r="E101" i="5"/>
  <c r="N99" i="5"/>
  <c r="N77" i="5"/>
  <c r="E2" i="5"/>
  <c r="N84" i="5"/>
  <c r="N47" i="5"/>
  <c r="N38" i="5"/>
  <c r="N19" i="5"/>
  <c r="N64" i="5"/>
  <c r="M32" i="5"/>
  <c r="E92" i="5"/>
  <c r="M59" i="5"/>
  <c r="N17" i="5"/>
  <c r="M34" i="5"/>
  <c r="M57" i="5"/>
  <c r="M77" i="5"/>
  <c r="M92" i="5"/>
  <c r="E23" i="5"/>
  <c r="E75" i="5"/>
  <c r="N92" i="5"/>
  <c r="N23" i="5"/>
  <c r="M11" i="5"/>
  <c r="N36" i="5"/>
  <c r="E98" i="5"/>
  <c r="N66" i="5"/>
  <c r="M21" i="5"/>
  <c r="E39" i="5"/>
  <c r="E81" i="5"/>
  <c r="N7" i="5"/>
  <c r="E14" i="5"/>
  <c r="E62" i="5"/>
  <c r="N35" i="5"/>
  <c r="M38" i="5"/>
  <c r="M54" i="5"/>
  <c r="E18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L5" i="5"/>
  <c r="L95" i="5"/>
  <c r="J66" i="5"/>
  <c r="J31" i="5"/>
  <c r="J98" i="5"/>
  <c r="L89" i="5"/>
  <c r="J18" i="5"/>
  <c r="J73" i="5"/>
  <c r="J80" i="5"/>
  <c r="J53" i="5"/>
  <c r="L79" i="5"/>
  <c r="L66" i="5"/>
  <c r="L85" i="5"/>
  <c r="L87" i="5"/>
  <c r="J20" i="5"/>
  <c r="L48" i="5"/>
  <c r="J29" i="5"/>
  <c r="J70" i="5"/>
  <c r="J65" i="5"/>
  <c r="L67" i="5"/>
  <c r="J41" i="5"/>
  <c r="L23" i="5"/>
  <c r="J5" i="5"/>
  <c r="L47" i="5"/>
  <c r="L96" i="5"/>
  <c r="J11" i="5"/>
  <c r="L19" i="5"/>
  <c r="L92" i="5"/>
  <c r="J63" i="5"/>
  <c r="J42" i="5"/>
  <c r="L33" i="5"/>
  <c r="L25" i="5"/>
  <c r="L91" i="5"/>
  <c r="L59" i="5"/>
  <c r="J33" i="5"/>
  <c r="J89" i="5"/>
  <c r="L55" i="5"/>
  <c r="L63" i="5"/>
  <c r="J69" i="5"/>
  <c r="L43" i="5"/>
  <c r="J76" i="5"/>
  <c r="J19" i="5"/>
  <c r="L44" i="5"/>
  <c r="J28" i="5"/>
  <c r="J10" i="5"/>
  <c r="L18" i="5"/>
  <c r="J101" i="5"/>
  <c r="J77" i="5"/>
  <c r="L20" i="5"/>
  <c r="L12" i="5"/>
  <c r="L38" i="5"/>
  <c r="J21" i="5"/>
  <c r="L72" i="5"/>
  <c r="J55" i="5"/>
  <c r="L88" i="5"/>
  <c r="J50" i="5"/>
  <c r="J30" i="5"/>
  <c r="L94" i="5"/>
  <c r="J47" i="5"/>
  <c r="L9" i="5"/>
  <c r="L101" i="5"/>
  <c r="L60" i="5"/>
  <c r="J82" i="5"/>
  <c r="J48" i="5"/>
  <c r="J58" i="5"/>
  <c r="J54" i="5"/>
  <c r="L70" i="5"/>
  <c r="L83" i="5"/>
  <c r="L22" i="5"/>
  <c r="J87" i="5"/>
  <c r="L6" i="5"/>
  <c r="L81" i="5"/>
  <c r="L52" i="5"/>
  <c r="J84" i="5"/>
  <c r="L42" i="5"/>
  <c r="L99" i="5"/>
  <c r="J40" i="5"/>
  <c r="J16" i="5"/>
  <c r="J68" i="5"/>
  <c r="L50" i="5"/>
  <c r="J85" i="5"/>
  <c r="L69" i="5"/>
  <c r="J51" i="5"/>
  <c r="L62" i="5"/>
  <c r="J57" i="5"/>
  <c r="J38" i="5"/>
  <c r="L26" i="5"/>
  <c r="J39" i="5"/>
  <c r="J72" i="5"/>
  <c r="J52" i="5"/>
  <c r="L41" i="5"/>
  <c r="L28" i="5"/>
  <c r="L15" i="5"/>
  <c r="L97" i="5"/>
  <c r="J96" i="5"/>
  <c r="J43" i="5"/>
  <c r="L65" i="5"/>
  <c r="J49" i="5"/>
  <c r="L93" i="5"/>
  <c r="L53" i="5"/>
  <c r="J90" i="5"/>
  <c r="L45" i="5"/>
  <c r="J37" i="5"/>
  <c r="J4" i="5"/>
  <c r="J95" i="5"/>
  <c r="L77" i="5"/>
  <c r="J79" i="5"/>
  <c r="J93" i="5"/>
  <c r="J59" i="5"/>
  <c r="J97" i="5"/>
  <c r="J46" i="5"/>
  <c r="J3" i="5"/>
  <c r="J92" i="5"/>
  <c r="L31" i="5"/>
  <c r="L8" i="5"/>
  <c r="J9" i="5"/>
  <c r="L32" i="5"/>
  <c r="J17" i="5"/>
  <c r="L24" i="5"/>
  <c r="L86" i="5"/>
  <c r="J2" i="5"/>
  <c r="L56" i="5"/>
  <c r="J56" i="5"/>
  <c r="L75" i="5"/>
  <c r="J71" i="5"/>
  <c r="J26" i="5"/>
  <c r="L34" i="5"/>
  <c r="J25" i="5"/>
  <c r="J45" i="5"/>
  <c r="L17" i="5"/>
  <c r="L2" i="5"/>
  <c r="L14" i="5"/>
  <c r="L3" i="5"/>
  <c r="J99" i="5"/>
  <c r="L13" i="5"/>
  <c r="L39" i="5"/>
  <c r="L76" i="5"/>
  <c r="L68" i="5"/>
  <c r="J91" i="5"/>
  <c r="L11" i="5"/>
  <c r="J7" i="5"/>
  <c r="J81" i="5"/>
  <c r="L80" i="5"/>
  <c r="L98" i="5"/>
  <c r="J74" i="5"/>
  <c r="L30" i="5"/>
  <c r="L57" i="5"/>
  <c r="J35" i="5"/>
  <c r="J36" i="5"/>
  <c r="J6" i="5"/>
  <c r="L78" i="5"/>
  <c r="L100" i="5"/>
  <c r="L4" i="5"/>
  <c r="L90" i="5"/>
  <c r="L7" i="5"/>
  <c r="J67" i="5"/>
  <c r="J75" i="5"/>
  <c r="L21" i="5"/>
  <c r="L36" i="5"/>
  <c r="J94" i="5"/>
  <c r="L10" i="5"/>
  <c r="J34" i="5"/>
  <c r="J83" i="5"/>
  <c r="J44" i="5"/>
  <c r="J64" i="5"/>
  <c r="J14" i="5"/>
  <c r="J32" i="5"/>
  <c r="L27" i="5"/>
  <c r="J62" i="5"/>
  <c r="J24" i="5"/>
  <c r="L73" i="5"/>
  <c r="J22" i="5"/>
  <c r="L71" i="5"/>
  <c r="L29" i="5"/>
  <c r="J12" i="5"/>
  <c r="J13" i="5"/>
  <c r="L64" i="5"/>
  <c r="L16" i="5"/>
  <c r="J61" i="5"/>
  <c r="L58" i="5"/>
  <c r="J78" i="5"/>
  <c r="J88" i="5"/>
  <c r="J8" i="5"/>
  <c r="L51" i="5"/>
  <c r="J27" i="5"/>
  <c r="L46" i="5"/>
  <c r="L54" i="5"/>
  <c r="J15" i="5"/>
  <c r="L35" i="5"/>
  <c r="L82" i="5"/>
  <c r="L61" i="5"/>
  <c r="L40" i="5"/>
  <c r="J86" i="5"/>
  <c r="L74" i="5"/>
  <c r="L37" i="5"/>
  <c r="J60" i="5"/>
  <c r="J23" i="5"/>
  <c r="L84" i="5"/>
  <c r="J100" i="5"/>
  <c r="L49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39" i="5"/>
  <c r="K98" i="5"/>
  <c r="K76" i="5"/>
  <c r="K24" i="5"/>
  <c r="K54" i="5"/>
  <c r="K93" i="5"/>
  <c r="K5" i="5"/>
  <c r="K25" i="5"/>
  <c r="K57" i="5"/>
  <c r="K84" i="5"/>
  <c r="K97" i="5"/>
  <c r="K44" i="5"/>
  <c r="K36" i="5"/>
  <c r="K91" i="5"/>
  <c r="K95" i="5"/>
  <c r="K52" i="5"/>
  <c r="K80" i="5"/>
  <c r="K55" i="5"/>
  <c r="K81" i="5"/>
  <c r="K13" i="5"/>
  <c r="K88" i="5"/>
  <c r="K3" i="5"/>
  <c r="K87" i="5"/>
  <c r="K40" i="5"/>
  <c r="K11" i="5"/>
  <c r="K86" i="5"/>
  <c r="K94" i="5"/>
  <c r="K71" i="5"/>
  <c r="K68" i="5"/>
  <c r="K31" i="5"/>
  <c r="K70" i="5"/>
  <c r="K26" i="5"/>
  <c r="K33" i="5"/>
  <c r="K49" i="5"/>
  <c r="K14" i="5"/>
  <c r="K51" i="5"/>
  <c r="K41" i="5"/>
  <c r="K21" i="5"/>
  <c r="K7" i="5"/>
  <c r="K48" i="5"/>
  <c r="K28" i="5"/>
  <c r="K12" i="5"/>
  <c r="K101" i="5"/>
  <c r="K67" i="5"/>
  <c r="K77" i="5"/>
  <c r="K59" i="5"/>
  <c r="K90" i="5"/>
  <c r="K18" i="5"/>
  <c r="K9" i="5"/>
  <c r="K75" i="5"/>
  <c r="K4" i="5"/>
  <c r="K19" i="5"/>
  <c r="K17" i="5"/>
  <c r="K99" i="5"/>
  <c r="K45" i="5"/>
  <c r="K62" i="5"/>
  <c r="K61" i="5"/>
  <c r="K83" i="5"/>
  <c r="K56" i="5"/>
  <c r="K69" i="5"/>
  <c r="K100" i="5"/>
  <c r="K34" i="5"/>
  <c r="K64" i="5"/>
  <c r="K29" i="5"/>
  <c r="K16" i="5"/>
  <c r="K79" i="5"/>
  <c r="K74" i="5"/>
  <c r="K53" i="5"/>
  <c r="K92" i="5"/>
  <c r="K78" i="5"/>
  <c r="K37" i="5"/>
  <c r="K63" i="5"/>
  <c r="K46" i="5"/>
  <c r="K82" i="5"/>
  <c r="K50" i="5"/>
  <c r="K38" i="5"/>
  <c r="K65" i="5"/>
  <c r="K15" i="5"/>
  <c r="K10" i="5"/>
  <c r="K73" i="5"/>
  <c r="K27" i="5"/>
  <c r="K60" i="5"/>
  <c r="K66" i="5"/>
  <c r="K42" i="5"/>
  <c r="K22" i="5"/>
  <c r="K47" i="5"/>
  <c r="K23" i="5"/>
  <c r="K35" i="5"/>
  <c r="K89" i="5"/>
  <c r="K20" i="5"/>
  <c r="K96" i="5"/>
  <c r="K8" i="5"/>
  <c r="K2" i="5"/>
  <c r="K85" i="5"/>
  <c r="K43" i="5"/>
  <c r="K58" i="5"/>
  <c r="K30" i="5"/>
  <c r="K32" i="5"/>
  <c r="K6" i="5"/>
  <c r="K72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72" i="5"/>
  <c r="I96" i="5"/>
  <c r="I43" i="5"/>
  <c r="I66" i="5"/>
  <c r="I2" i="5"/>
  <c r="I54" i="5"/>
  <c r="I93" i="5"/>
  <c r="I53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I90" i="5"/>
  <c r="F68" i="5"/>
  <c r="I64" i="5"/>
  <c r="I19" i="5"/>
  <c r="I40" i="5"/>
  <c r="F91" i="5"/>
  <c r="I47" i="5"/>
  <c r="F57" i="5"/>
  <c r="F19" i="5"/>
  <c r="I67" i="5"/>
  <c r="I9" i="5"/>
  <c r="F87" i="5"/>
  <c r="I75" i="5"/>
  <c r="I82" i="5"/>
  <c r="F51" i="5"/>
  <c r="F34" i="5"/>
  <c r="F80" i="5"/>
  <c r="I29" i="5"/>
  <c r="F3" i="5"/>
  <c r="F89" i="5"/>
  <c r="I42" i="5"/>
  <c r="I17" i="5"/>
  <c r="I56" i="5"/>
  <c r="I81" i="5"/>
  <c r="I97" i="5"/>
  <c r="F16" i="5"/>
  <c r="F75" i="5"/>
  <c r="F86" i="5"/>
  <c r="F67" i="5"/>
  <c r="F76" i="5"/>
  <c r="I55" i="5"/>
  <c r="I11" i="5"/>
  <c r="I78" i="5"/>
  <c r="I8" i="5"/>
  <c r="F41" i="5"/>
  <c r="F97" i="5"/>
  <c r="F11" i="5"/>
  <c r="I3" i="5"/>
  <c r="F78" i="5"/>
  <c r="I74" i="5"/>
  <c r="F27" i="5"/>
  <c r="I58" i="5"/>
  <c r="I27" i="5"/>
  <c r="I4" i="5"/>
  <c r="F18" i="5"/>
  <c r="I35" i="5"/>
  <c r="F48" i="5"/>
  <c r="I86" i="5"/>
  <c r="I61" i="5"/>
  <c r="I31" i="5"/>
  <c r="F83" i="5"/>
  <c r="I15" i="5"/>
  <c r="F101" i="5"/>
  <c r="I22" i="5"/>
  <c r="F66" i="5"/>
  <c r="I41" i="5"/>
  <c r="F30" i="5"/>
  <c r="F55" i="5"/>
  <c r="F99" i="5"/>
  <c r="I23" i="5"/>
  <c r="F54" i="5"/>
  <c r="I10" i="5"/>
  <c r="I39" i="5"/>
  <c r="I21" i="5"/>
  <c r="F25" i="5"/>
  <c r="F26" i="5"/>
  <c r="F98" i="5"/>
  <c r="F10" i="5"/>
  <c r="F13" i="5"/>
  <c r="F69" i="5"/>
  <c r="F22" i="5"/>
  <c r="F2" i="5"/>
  <c r="I30" i="5"/>
  <c r="I6" i="5"/>
  <c r="I7" i="5"/>
  <c r="F71" i="5"/>
  <c r="I89" i="5"/>
  <c r="F24" i="5"/>
  <c r="F79" i="5"/>
  <c r="F60" i="5"/>
  <c r="I57" i="5"/>
  <c r="I5" i="5"/>
  <c r="I101" i="5"/>
  <c r="F52" i="5"/>
  <c r="F14" i="5"/>
  <c r="F17" i="5"/>
  <c r="F70" i="5"/>
  <c r="F72" i="5"/>
  <c r="I79" i="5"/>
  <c r="F85" i="5"/>
  <c r="F56" i="5"/>
  <c r="I50" i="5"/>
  <c r="I14" i="5"/>
  <c r="I45" i="5"/>
  <c r="I25" i="5"/>
  <c r="I20" i="5"/>
  <c r="I59" i="5"/>
  <c r="F73" i="5"/>
  <c r="F37" i="5"/>
  <c r="I34" i="5"/>
  <c r="F8" i="5"/>
  <c r="I60" i="5"/>
  <c r="F96" i="5"/>
  <c r="F6" i="5"/>
  <c r="F29" i="5"/>
  <c r="I71" i="5"/>
  <c r="F32" i="5"/>
  <c r="F88" i="5"/>
  <c r="I100" i="5"/>
  <c r="F33" i="5"/>
  <c r="F93" i="5"/>
  <c r="F100" i="5"/>
  <c r="I99" i="5"/>
  <c r="I13" i="5"/>
  <c r="F5" i="5"/>
  <c r="F63" i="5"/>
  <c r="I85" i="5"/>
  <c r="I48" i="5"/>
  <c r="F20" i="5"/>
  <c r="F47" i="5"/>
  <c r="I73" i="5"/>
  <c r="F36" i="5"/>
  <c r="I51" i="5"/>
  <c r="F50" i="5"/>
  <c r="F39" i="5"/>
  <c r="I91" i="5"/>
  <c r="I52" i="5"/>
  <c r="F9" i="5"/>
  <c r="I83" i="5"/>
  <c r="F81" i="5"/>
  <c r="I26" i="5"/>
  <c r="F40" i="5"/>
  <c r="I69" i="5"/>
  <c r="I63" i="5"/>
  <c r="I38" i="5"/>
  <c r="F43" i="5"/>
  <c r="F21" i="5"/>
  <c r="I76" i="5"/>
  <c r="I87" i="5"/>
  <c r="I16" i="5"/>
  <c r="F64" i="5"/>
  <c r="F31" i="5"/>
  <c r="I94" i="5"/>
  <c r="I18" i="5"/>
  <c r="F12" i="5"/>
  <c r="F95" i="5"/>
  <c r="I70" i="5"/>
  <c r="I24" i="5"/>
  <c r="F35" i="5"/>
  <c r="I49" i="5"/>
  <c r="F61" i="5"/>
  <c r="F90" i="5"/>
  <c r="F49" i="5"/>
  <c r="F92" i="5"/>
  <c r="F7" i="5"/>
  <c r="I62" i="5"/>
  <c r="F42" i="5"/>
  <c r="F44" i="5"/>
  <c r="I36" i="5"/>
  <c r="I88" i="5"/>
  <c r="F59" i="5"/>
  <c r="I77" i="5"/>
  <c r="F23" i="5"/>
  <c r="I80" i="5"/>
  <c r="F94" i="5"/>
  <c r="I12" i="5"/>
  <c r="F38" i="5"/>
  <c r="F4" i="5"/>
  <c r="F45" i="5"/>
  <c r="I28" i="5"/>
  <c r="I65" i="5"/>
  <c r="F84" i="5"/>
  <c r="F74" i="5"/>
  <c r="F62" i="5"/>
  <c r="I92" i="5"/>
  <c r="I44" i="5"/>
  <c r="F77" i="5"/>
  <c r="I33" i="5"/>
  <c r="I84" i="5"/>
  <c r="I68" i="5"/>
  <c r="F82" i="5"/>
  <c r="F15" i="5"/>
  <c r="I95" i="5"/>
  <c r="F28" i="5"/>
  <c r="I98" i="5"/>
  <c r="I46" i="5"/>
  <c r="F65" i="5"/>
  <c r="I32" i="5"/>
  <c r="F53" i="5"/>
  <c r="F46" i="5"/>
  <c r="I37" i="5"/>
  <c r="F58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73" i="5"/>
  <c r="H42" i="5"/>
  <c r="H63" i="5"/>
  <c r="H76" i="5"/>
  <c r="H95" i="5"/>
  <c r="H99" i="5"/>
  <c r="H35" i="5"/>
  <c r="H16" i="5"/>
  <c r="H60" i="5"/>
  <c r="H82" i="5"/>
  <c r="H34" i="5"/>
  <c r="H90" i="5"/>
  <c r="H66" i="5"/>
  <c r="H25" i="5"/>
  <c r="H70" i="5"/>
  <c r="H3" i="5"/>
  <c r="H48" i="5"/>
  <c r="H2" i="5"/>
  <c r="H37" i="5"/>
  <c r="H80" i="5"/>
  <c r="H92" i="5"/>
  <c r="H71" i="5"/>
  <c r="H29" i="5"/>
  <c r="H7" i="5"/>
  <c r="H51" i="5"/>
  <c r="H19" i="5"/>
  <c r="H43" i="5"/>
  <c r="H100" i="5"/>
  <c r="H84" i="5"/>
  <c r="H32" i="5"/>
  <c r="H23" i="5"/>
  <c r="H55" i="5"/>
  <c r="H53" i="5"/>
  <c r="H97" i="5"/>
  <c r="H40" i="5"/>
  <c r="H83" i="5"/>
  <c r="H62" i="5"/>
  <c r="H12" i="5"/>
  <c r="H11" i="5"/>
  <c r="H45" i="5"/>
  <c r="H14" i="5"/>
  <c r="H52" i="5"/>
  <c r="H58" i="5"/>
  <c r="H57" i="5"/>
  <c r="H30" i="5"/>
  <c r="H41" i="5"/>
  <c r="H64" i="5"/>
  <c r="H13" i="5"/>
  <c r="H96" i="5"/>
  <c r="H87" i="5"/>
  <c r="H88" i="5"/>
  <c r="H86" i="5"/>
  <c r="H6" i="5"/>
  <c r="H8" i="5"/>
  <c r="H93" i="5"/>
  <c r="H81" i="5"/>
  <c r="H67" i="5"/>
  <c r="H5" i="5"/>
  <c r="H59" i="5"/>
  <c r="H33" i="5"/>
  <c r="H61" i="5"/>
  <c r="H50" i="5"/>
  <c r="H68" i="5"/>
  <c r="H21" i="5"/>
  <c r="H26" i="5"/>
  <c r="H28" i="5"/>
  <c r="H98" i="5"/>
  <c r="H94" i="5"/>
  <c r="H39" i="5"/>
  <c r="H49" i="5"/>
  <c r="H69" i="5"/>
  <c r="H9" i="5"/>
  <c r="H18" i="5"/>
  <c r="H75" i="5"/>
  <c r="H27" i="5"/>
  <c r="H85" i="5"/>
  <c r="H91" i="5"/>
  <c r="H74" i="5"/>
  <c r="H15" i="5"/>
  <c r="H24" i="5"/>
  <c r="H101" i="5"/>
  <c r="H46" i="5"/>
  <c r="H47" i="5"/>
  <c r="H79" i="5"/>
  <c r="H22" i="5"/>
  <c r="H4" i="5"/>
  <c r="H54" i="5"/>
  <c r="H72" i="5"/>
  <c r="H44" i="5"/>
  <c r="H89" i="5"/>
  <c r="H36" i="5"/>
  <c r="H56" i="5"/>
  <c r="H77" i="5"/>
  <c r="H31" i="5"/>
  <c r="H17" i="5"/>
  <c r="H10" i="5"/>
  <c r="H20" i="5"/>
  <c r="H78" i="5"/>
  <c r="H38" i="5"/>
  <c r="H65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<sst xmlns="http://schemas.openxmlformats.org/spreadsheetml/2006/main" count="305" uniqueCount="245">
  <si>
    <t>^</t>
  </si>
  <si>
    <t>KANBAN</t>
  </si>
  <si>
    <t>COMPLETADO</t>
  </si>
  <si>
    <t>NORMAL</t>
  </si>
  <si>
    <t>Resultados de las pruebas finales Stakeholder de desarrollo 
y de la organizaciòn</t>
  </si>
  <si>
    <t xml:space="preserve">Realizar el Informe de Resultados de 
las pruebas finales </t>
  </si>
  <si>
    <t>Ruben Arroyo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</si>
  <si>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</si>
  <si>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</si>
  <si>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</si>
  <si>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</si>
  <si>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</si>
  <si>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</si>
  <si>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</si>
  <si>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POR HACER</t>
  </si>
  <si>
    <t>URGENTE</t>
  </si>
  <si>
    <t>EN PROGRESO</t>
  </si>
  <si>
    <t>IMPORTANTE</t>
  </si>
  <si>
    <t>EN ESPERA</t>
  </si>
  <si>
    <t>ARCHIVADO</t>
  </si>
  <si>
    <t>Ing. Jenny Ruiz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</si>
  <si>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</si>
  <si>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</si>
  <si>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</si>
  <si>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</si>
  <si>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</si>
  <si>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</si>
  <si>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</si>
  <si>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</si>
  <si>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</si>
  <si>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</si>
  <si>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</si>
  <si>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</si>
  <si>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</si>
  <si>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</si>
  <si>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</si>
  <si>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</si>
  <si>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</si>
  <si>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</si>
  <si>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</si>
  <si>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</si>
  <si>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</si>
  <si>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</si>
  <si>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</si>
  <si>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</si>
  <si>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</si>
  <si>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</si>
  <si>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</si>
  <si>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</si>
  <si>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</si>
  <si>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</si>
  <si>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</si>
  <si>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</si>
  <si>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</si>
  <si>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</si>
  <si>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</si>
  <si>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</si>
  <si>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</si>
  <si>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</si>
  <si>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</si>
  <si>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</si>
  <si>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</si>
  <si>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</si>
  <si>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</si>
  <si>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</si>
  <si>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</si>
  <si>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</si>
  <si>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</si>
  <si>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</si>
  <si>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</si>
  <si>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</si>
  <si>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</si>
  <si>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</si>
  <si>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</si>
  <si>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</si>
  <si>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</si>
  <si>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</si>
  <si>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</si>
  <si>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</si>
  <si>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</si>
  <si>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</si>
  <si>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</si>
  <si>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</si>
  <si>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</si>
  <si>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</si>
  <si>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</si>
  <si>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</si>
  <si>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</si>
  <si>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</si>
  <si>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</si>
  <si>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</si>
  <si>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</si>
  <si>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</si>
  <si>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</si>
  <si>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</si>
  <si>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</si>
  <si>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</si>
  <si>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</si>
  <si>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</si>
  <si>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</si>
  <si>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</si>
  <si>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</si>
  <si>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</si>
  <si>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</si>
  <si>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</si>
  <si>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</si>
  <si>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</si>
  <si>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</si>
  <si>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</si>
  <si>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</si>
  <si>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</si>
  <si>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</si>
  <si>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</si>
  <si>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</si>
  <si>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</si>
  <si>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</si>
  <si>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</si>
  <si>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</si>
  <si>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</si>
  <si>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</si>
  <si>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</si>
  <si>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</si>
  <si>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</si>
  <si>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</si>
  <si>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</si>
  <si>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</si>
  <si>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</si>
  <si>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</si>
  <si>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</si>
  <si>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</si>
  <si>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</si>
  <si>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</si>
  <si>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</si>
  <si>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</si>
  <si>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</si>
  <si>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</si>
  <si>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</si>
  <si>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</si>
  <si>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</si>
  <si>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</si>
  <si>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</si>
  <si>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</si>
  <si>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</si>
  <si>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</si>
  <si>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</si>
  <si>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</si>
  <si>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</si>
  <si>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</si>
  <si>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</si>
  <si>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</si>
  <si>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</si>
  <si>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</si>
  <si>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</si>
  <si>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</si>
  <si>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</si>
  <si>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</si>
  <si>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</si>
  <si>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</si>
  <si>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</si>
  <si>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</si>
  <si>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</si>
  <si>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</si>
  <si>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</si>
  <si>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</si>
  <si>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</si>
  <si>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</si>
  <si>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</si>
  <si>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</si>
  <si>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</si>
  <si>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</si>
  <si>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</si>
  <si>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</si>
  <si>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</si>
  <si>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</si>
  <si>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</si>
  <si>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</si>
  <si>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</si>
  <si>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</si>
  <si>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</si>
  <si>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</si>
  <si>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</si>
  <si>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</si>
  <si>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</si>
  <si>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</si>
  <si>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</si>
  <si>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</si>
  <si>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</si>
  <si>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</si>
  <si>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</si>
  <si>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</si>
  <si>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</si>
  <si>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</si>
  <si>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</si>
  <si>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</si>
  <si>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</si>
  <si>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</si>
  <si>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</si>
  <si>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</si>
  <si>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</si>
  <si>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</si>
  <si>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</si>
  <si>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</si>
  <si>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</si>
  <si>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</si>
  <si>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</si>
  <si>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</si>
  <si>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</si>
  <si>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</si>
  <si>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</si>
  <si>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</si>
  <si>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</si>
  <si>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</si>
  <si>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</si>
  <si>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</si>
  <si>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</si>
  <si>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</si>
  <si>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</si>
  <si>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</si>
  <si>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</si>
  <si>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REQ001-1</t>
  </si>
  <si>
    <t>REQ003-3</t>
  </si>
  <si>
    <t xml:space="preserve">REQ003-2 </t>
  </si>
  <si>
    <t>BRYAN ORTIZ</t>
  </si>
  <si>
    <t>CAMILA PAREDES</t>
  </si>
  <si>
    <t>CRISTIAN PINCHA</t>
  </si>
  <si>
    <t>REQ001-2</t>
  </si>
  <si>
    <t xml:space="preserve">REQ001-3 </t>
  </si>
  <si>
    <t>REQ002-1</t>
  </si>
  <si>
    <t xml:space="preserve">REQ002-2 </t>
  </si>
  <si>
    <t>REQ002-3</t>
  </si>
  <si>
    <t>REQ002-4</t>
  </si>
  <si>
    <t xml:space="preserve">REQ003-1 </t>
  </si>
  <si>
    <t xml:space="preserve">REQ003-4 </t>
  </si>
  <si>
    <t>CRISTIAN PINCHA - CAMILA PAREDES</t>
  </si>
  <si>
    <t>Diseñar un formulario de acceso para que el usuario ingrese sus credenciales e inicie sesión.</t>
  </si>
  <si>
    <t>Almacenar en la base de datos la información de las cuentas registradas por los usuarios.</t>
  </si>
  <si>
    <t>Mostrar una confirmación indicando que la creación de la cuenta se realizó correctamente.</t>
  </si>
  <si>
    <t>Registrar uno o varios platillos nuevos dentro del menú del sistema.</t>
  </si>
  <si>
    <t>Actualizar la información de uno o varios platillos ya existentes en el sistema.</t>
  </si>
  <si>
    <t>Quitar del sistema uno o varios platillos previamente registrados.</t>
  </si>
  <si>
    <t>Consultar y visualizar los cambios realizados en los platillos para verificar la actualización.</t>
  </si>
  <si>
    <t>Crear una pantalla que muestre el número total y la numeración de las mesas disponibles.</t>
  </si>
  <si>
    <t>Permitir seleccionar la(s) mesa(s) que se desea ocupar dentro del sistema.</t>
  </si>
  <si>
    <t>Confirmar la selección realizada y registrar la ocupación de la(s) mesa(s) elegida(s).</t>
  </si>
  <si>
    <t>Revisar y mostrar el estado de disponibilidad de las mesas en 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</si>
</sst>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;;"/>
    <numFmt numFmtId="165" formatCode="0;;;"/>
  </numFmts>
  <fonts count="20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9" fillId="0" borderId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3">
    <cellStyle name="Hipervínculo" xfId="1" builtinId="8"/>
    <cellStyle name="Normal" xfId="0" builtinId="0"/>
    <cellStyle name="Normal 2" xfId="2" xr:uid="{995680A3-B2A2-401A-B25B-05BE176AA3B6}"/>
  </cellStyles>
  <dxfs count="27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2" defaultPivotStyle="PivotStyleLight16">
    <tableStyle name="burdonchart-style" pivot="0" count="3" xr9:uid="{33AC45D9-35C1-41AE-9629-270259ACF0C1}">
      <tableStyleElement type="headerRow" dxfId="26"/>
      <tableStyleElement type="firstRowStripe" dxfId="25"/>
      <tableStyleElement type="secondRowStripe" dxfId="24"/>
    </tableStyle>
  </tableStyles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7" dataDxfId="6">
  <autoFilter ref="B1:G33" xr:uid="{0EAF28E5-0E22-47B4-AD65-B0AEBC07C8FD}"/>
  <tableColumns count="6">
    <tableColumn id="1" xr3:uid="{F0E73C1E-CCFA-4300-AC3D-E67E676E36BF}" name="Español" dataDxfId="5"/>
    <tableColumn id="2" xr3:uid="{36085523-D642-42FF-AE1D-87567505551D}" name="English" dataDxfId="4"/>
    <tableColumn id="3" xr3:uid="{3322FBB4-01E0-4235-A470-44717FDBDCC9}" name="Française" dataDxfId="3"/>
    <tableColumn id="4" xr3:uid="{2DF4B6A9-AFE6-4898-91D8-DC7E333ACF08}" name="Italiano" dataDxfId="2"/>
    <tableColumn id="5" xr3:uid="{9A0035F3-EC53-45C0-B33A-DBC7B4DB4D45}" name="Deutsch" dataDxfId="1"/>
    <tableColumn id="6" xr3:uid="{F02A4F88-64FE-47CB-8FD1-5FD4615BD74A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O1" zoomScale="94" zoomScaleNormal="110" workbookViewId="0">
      <pane ySplit="4" topLeftCell="A5" activePane="bottomLeft" state="frozen"/>
      <selection pane="bottomLeft" activeCell="R42" sqref="R42:R49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12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6" t="str" cm="1">
        <f t="array" aca="1" ref="C4" ca="1">IFERROR(INDEX(Configura!$B$9:$B$18,B4)&amp;" ("&amp;SUMIF(misEstados,B4,misFiltros)&amp;" de "&amp;SUM(misFiltros)&amp;")","")</f>
        <v>POR HACER (0 de 12)</v>
      </c>
      <c r="D4" s="116"/>
      <c r="E4" s="116"/>
      <c r="F4" s="9" t="s">
        <v>0</v>
      </c>
      <c r="G4" s="25">
        <f>B4+1</f>
        <v>2</v>
      </c>
      <c r="H4" s="116" t="str" cm="1">
        <f t="array" aca="1" ref="H4" ca="1">IFERROR(INDEX(Configura!$B$9:$B$18,G4)&amp;" ("&amp;SUMIF(misEstados,G4,misFiltros)&amp;" de "&amp;SUM(misFiltros)&amp;")","")</f>
        <v>EN PROGRESO (0 de 12)</v>
      </c>
      <c r="I4" s="116"/>
      <c r="J4" s="116"/>
      <c r="K4" s="9" t="s">
        <v>0</v>
      </c>
      <c r="L4" s="25">
        <f>G4+1</f>
        <v>3</v>
      </c>
      <c r="M4" s="116" t="str" cm="1">
        <f t="array" aca="1" ref="M4" ca="1">IFERROR(INDEX(Configura!$B$9:$B$18,L4)&amp;" ("&amp;SUMIF(misEstados,L4,misFiltros)&amp;" de "&amp;SUM(misFiltros)&amp;")","")</f>
        <v>EN ESPERA (0 de 12)</v>
      </c>
      <c r="N4" s="116"/>
      <c r="O4" s="116"/>
      <c r="P4" s="9" t="s">
        <v>0</v>
      </c>
      <c r="Q4" s="25">
        <f>L4+1</f>
        <v>4</v>
      </c>
      <c r="R4" s="116" t="str" cm="1">
        <f t="array" aca="1" ref="R4" ca="1">IFERROR(INDEX(Configura!$B$9:$B$18,Q4)&amp;" ("&amp;SUMIF(misEstados,Q4,misFiltros)&amp;" de "&amp;SUM(misFiltros)&amp;")","")</f>
        <v>COMPLETADO (12 de 12)</v>
      </c>
      <c r="S4" s="116"/>
      <c r="T4" s="116"/>
      <c r="U4" s="9" t="s">
        <v>0</v>
      </c>
      <c r="V4" s="25">
        <f>Q4+1</f>
        <v>5</v>
      </c>
      <c r="W4" s="116" t="str" cm="1">
        <f t="array" aca="1" ref="W4" ca="1">IFERROR(INDEX(Configura!$B$9:$B$18,V4)&amp;" ("&amp;SUMIF(misEstados,V4,misFiltros)&amp;" de "&amp;SUM(misFiltros)&amp;")","")</f>
        <v>ARCHIVADO (0 de 12)</v>
      </c>
      <c r="X4" s="116"/>
      <c r="Y4" s="116"/>
      <c r="Z4" s="10" t="s">
        <v>0</v>
      </c>
      <c r="AA4" s="25">
        <f>V4+1</f>
        <v>6</v>
      </c>
      <c r="AB4" s="116" t="str" cm="1">
        <f t="array" aca="1" ref="AB4" ca="1">IFERROR(INDEX(Configura!$B$9:$B$18,AA4)&amp;" ("&amp;SUMIF(misEstados,AA4,misFiltros)&amp;" de "&amp;SUM(misFiltros)&amp;")","")</f>
        <v>POR HACER (0 de 12)</v>
      </c>
      <c r="AC4" s="116"/>
      <c r="AD4" s="116"/>
      <c r="AE4" s="10" t="s">
        <v>0</v>
      </c>
      <c r="AF4" s="25">
        <f>AA4+1</f>
        <v>7</v>
      </c>
      <c r="AG4" s="116" t="str" cm="1">
        <f t="array" aca="1" ref="AG4" ca="1">IFERROR(INDEX(Configura!$B$9:$B$18,AF4)&amp;" ("&amp;SUMIF(misEstados,AF4,misFiltros)&amp;" de "&amp;SUM(misFiltros)&amp;")","")</f>
        <v>EN PROGRESO (0 de 12)</v>
      </c>
      <c r="AH4" s="116"/>
      <c r="AI4" s="116"/>
      <c r="AJ4" s="10" t="s">
        <v>0</v>
      </c>
      <c r="AK4" s="25">
        <f>AF4+1</f>
        <v>8</v>
      </c>
      <c r="AL4" s="116" t="str" cm="1">
        <f t="array" aca="1" ref="AL4" ca="1">IFERROR(INDEX(Configura!$B$9:$B$18,AK4)&amp;" ("&amp;SUMIF(misEstados,AK4,misFiltros)&amp;" de "&amp;SUM(misFiltros)&amp;")","")</f>
        <v xml:space="preserve"> (0 de 12)</v>
      </c>
      <c r="AM4" s="116"/>
      <c r="AN4" s="116"/>
      <c r="AO4" s="10" t="s">
        <v>0</v>
      </c>
      <c r="AP4" s="25">
        <f>AK4+1</f>
        <v>9</v>
      </c>
      <c r="AQ4" s="116" t="str" cm="1">
        <f t="array" aca="1" ref="AQ4" ca="1">IFERROR(INDEX(Configura!$B$9:$B$18,AP4)&amp;" ("&amp;SUMIF(misEstados,AP4,misFiltros)&amp;" de "&amp;SUM(misFiltros)&amp;")","")</f>
        <v xml:space="preserve"> (0 de 12)</v>
      </c>
      <c r="AR4" s="116"/>
      <c r="AS4" s="116"/>
      <c r="AT4" s="10" t="s">
        <v>0</v>
      </c>
      <c r="AU4" s="25">
        <f>AP4+1</f>
        <v>10</v>
      </c>
      <c r="AV4" s="116" t="str" cm="1">
        <f t="array" aca="1" ref="AV4" ca="1">IFERROR(INDEX(Configura!$B$9:$B$18,AU4)&amp;" ("&amp;SUMIF(misEstados,AU4,misFiltros)&amp;" de "&amp;SUM(misFiltros)&amp;")","")</f>
        <v xml:space="preserve"> (0 de 12)</v>
      </c>
      <c r="AW4" s="116"/>
      <c r="AX4" s="116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4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4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4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4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4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4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4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4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4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4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4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4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4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4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4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4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4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4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4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4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4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4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4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4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4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4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4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4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4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4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4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4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4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4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4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4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4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4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4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4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4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4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4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4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4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4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4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4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4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4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4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4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4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4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4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4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4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4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11:</v>
      </c>
      <c r="S15" s="114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 xml:space="preserve">REQ003-4 </v>
      </c>
      <c r="T15" s="11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4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4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4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4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4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4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Revisar y mostrar el estado de disponibilidad de las mesas en el sistema.</v>
      </c>
      <c r="T16" s="11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4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4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4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4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4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4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4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45082</v>
      </c>
      <c r="T17" s="11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4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4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4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4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4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4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4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45086</v>
      </c>
      <c r="T18" s="11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4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4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4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4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4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4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4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45086</v>
      </c>
      <c r="T19" s="11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4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4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4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5 días</v>
      </c>
      <c r="T20" s="11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4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4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4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4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4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CRISTIAN PINCHA - CAMILA PAREDES</v>
      </c>
      <c r="T22" s="11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4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4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4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4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4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4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10:</v>
      </c>
      <c r="S24" s="114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REQ003-3</v>
      </c>
      <c r="T24" s="11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4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4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4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4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4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Confirmar la selección realizada y registrar la ocupación de la(s) mesa(s) elegida(s).</v>
      </c>
      <c r="T25" s="11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4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4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4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4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4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4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4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45084</v>
      </c>
      <c r="T26" s="11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4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4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4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4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4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4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4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45086</v>
      </c>
      <c r="T27" s="11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4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4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4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4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4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4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4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45086</v>
      </c>
      <c r="T28" s="11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4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4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4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3 días</v>
      </c>
      <c r="T29" s="11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4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4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4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4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CRISTIAN PINCHA - CAMILA PAREDES</v>
      </c>
      <c r="T31" s="11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4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4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4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4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9:</v>
      </c>
      <c r="S33" s="114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 xml:space="preserve">REQ003-2 </v>
      </c>
      <c r="T33" s="11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4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4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4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4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Permitir seleccionar la(s) mesa(s) que se desea ocupar dentro del sistema.</v>
      </c>
      <c r="T34" s="11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4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4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4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4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4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45084</v>
      </c>
      <c r="T35" s="11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4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4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4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4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4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45086</v>
      </c>
      <c r="T36" s="11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4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4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4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4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4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45086</v>
      </c>
      <c r="T37" s="11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4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4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3 días</v>
      </c>
      <c r="T38" s="11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4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4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4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CRISTIAN PINCHA - CAMILA PAREDES</v>
      </c>
      <c r="T40" s="11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4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4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4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4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8:</v>
      </c>
      <c r="S42" s="114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 xml:space="preserve">REQ003-1 </v>
      </c>
      <c r="T42" s="11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4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4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4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4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4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Crear una pantalla que muestre el número total y la numeración de las mesas disponibles.</v>
      </c>
      <c r="T43" s="11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4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4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4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4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4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45083</v>
      </c>
      <c r="T44" s="11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4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4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4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4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4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45084</v>
      </c>
      <c r="T45" s="11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4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4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4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4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4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45084</v>
      </c>
      <c r="T46" s="11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4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4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2 días</v>
      </c>
      <c r="T47" s="11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4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4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4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CRISTIAN PINCHA - CAMILA PAREDES</v>
      </c>
      <c r="T49" s="11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4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4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4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4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7:</v>
      </c>
      <c r="S51" s="11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REQ002-4</v>
      </c>
      <c r="T51" s="11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4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4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4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4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4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4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Consultar y visualizar los cambios realizados en los platillos para verificar la actualización.</v>
      </c>
      <c r="T52" s="11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4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4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4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4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4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45086</v>
      </c>
      <c r="T53" s="11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4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4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4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4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4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45086</v>
      </c>
      <c r="T54" s="11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4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4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4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4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4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45086</v>
      </c>
      <c r="T55" s="11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4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4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1 días</v>
      </c>
      <c r="T56" s="11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4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4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CAMILA PAREDES</v>
      </c>
      <c r="T58" s="11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4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4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4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4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4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6:</v>
      </c>
      <c r="S60" s="11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REQ002-3</v>
      </c>
      <c r="T60" s="114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4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4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4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4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Quitar del sistema uno o varios platillos previamente registrados.</v>
      </c>
      <c r="T61" s="114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4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4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4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4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4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45083</v>
      </c>
      <c r="T62" s="114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4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4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4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4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4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45084</v>
      </c>
      <c r="T63" s="114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4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4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4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4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4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45084</v>
      </c>
      <c r="T64" s="114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4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4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2 días</v>
      </c>
      <c r="T65" s="114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4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4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4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4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CAMILA PAREDES</v>
      </c>
      <c r="T67" s="11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4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4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4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5:</v>
      </c>
      <c r="S69" s="11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 xml:space="preserve">REQ002-2 </v>
      </c>
      <c r="T69" s="114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4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4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4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Actualizar la información de uno o varios platillos ya existentes en el sistema.</v>
      </c>
      <c r="T70" s="114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4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4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4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45086</v>
      </c>
      <c r="T71" s="114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4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4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4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45086</v>
      </c>
      <c r="T72" s="114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4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4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4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45086</v>
      </c>
      <c r="T73" s="114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4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14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4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4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CAMILA PAREDES</v>
      </c>
      <c r="T76" s="11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4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4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4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4:</v>
      </c>
      <c r="S78" s="11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REQ002-1</v>
      </c>
      <c r="T78" s="114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4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4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4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Registrar uno o varios platillos nuevos dentro del menú del sistema.</v>
      </c>
      <c r="T79" s="114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4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4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4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45082</v>
      </c>
      <c r="T80" s="114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4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4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4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45086</v>
      </c>
      <c r="T81" s="114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4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4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4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45086</v>
      </c>
      <c r="T82" s="114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4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5 días</v>
      </c>
      <c r="T83" s="114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4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4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CAMILA PAREDES</v>
      </c>
      <c r="T85" s="11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4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4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4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3:</v>
      </c>
      <c r="S87" s="11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 xml:space="preserve">REQ001-3 </v>
      </c>
      <c r="T87" s="114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4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4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4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Mostrar una confirmación indicando que la creación de la cuenta se realizó correctamente.</v>
      </c>
      <c r="T88" s="114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4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4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4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45083</v>
      </c>
      <c r="T89" s="114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4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4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4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45086</v>
      </c>
      <c r="T90" s="114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4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4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4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45086</v>
      </c>
      <c r="T91" s="114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4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4 días</v>
      </c>
      <c r="T92" s="114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4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4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BRYAN ORTIZ</v>
      </c>
      <c r="T94" s="11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4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4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4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2:</v>
      </c>
      <c r="S96" s="11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REQ001-2</v>
      </c>
      <c r="T96" s="114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4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4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4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Almacenar en la base de datos la información de las cuentas registradas por los usuarios.</v>
      </c>
      <c r="T97" s="114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4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4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4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45082</v>
      </c>
      <c r="T98" s="114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4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4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4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45085</v>
      </c>
      <c r="T99" s="114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4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4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4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45085</v>
      </c>
      <c r="T100" s="114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4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4 días</v>
      </c>
      <c r="T101" s="114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4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4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BRYAN ORTIZ</v>
      </c>
      <c r="T103" s="11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4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4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4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1:</v>
      </c>
      <c r="S105" s="11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REQ001-1</v>
      </c>
      <c r="T105" s="114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4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4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4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Diseñar un formulario de acceso para que el usuario ingrese sus credenciales e inicie sesión.</v>
      </c>
      <c r="T106" s="114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4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4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4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45084</v>
      </c>
      <c r="T107" s="114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4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4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4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45086</v>
      </c>
      <c r="T108" s="114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4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4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4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45086</v>
      </c>
      <c r="T109" s="114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4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3 días</v>
      </c>
      <c r="T110" s="114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4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4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BRYAN ORTIZ</v>
      </c>
      <c r="T112" s="11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4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4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4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1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14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4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4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14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14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4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4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14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14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4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4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14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14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4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4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14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14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4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1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14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4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1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14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1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1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4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1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14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14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14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14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14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14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14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14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14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1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14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1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14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1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1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4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1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14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14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14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14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14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14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14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14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14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1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14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1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14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1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1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4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4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4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4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4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4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4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4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4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4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4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4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4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4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4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4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4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4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4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4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4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4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4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4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4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4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4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4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4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4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4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4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4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4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4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4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4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4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4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4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4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4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4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4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4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4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4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4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4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4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4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4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4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4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4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4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4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4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4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4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4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4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4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4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4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4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4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4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4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4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4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4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4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4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4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4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4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4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4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4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4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4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4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5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5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5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5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5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5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5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5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5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5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23" priority="1" stopIfTrue="1">
      <formula>AND(B6=miCabeceraRetraso&amp;":",IFERROR(--LEFT(C6,FIND(" ",C6)-1),0)&gt;0)</formula>
    </cfRule>
    <cfRule type="expression" dxfId="22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1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topLeftCell="C1" zoomScale="122" zoomScaleNormal="80" workbookViewId="0">
      <pane ySplit="1" topLeftCell="A5" activePane="bottomLeft" state="frozen"/>
      <selection pane="bottomLeft" activeCell="D2" sqref="D2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3.2" x14ac:dyDescent="0.3">
      <c r="A2" s="91" t="s">
        <v>2</v>
      </c>
      <c r="B2" s="92" t="s">
        <v>15</v>
      </c>
      <c r="C2" s="102" t="s">
        <v>219</v>
      </c>
      <c r="D2" s="102" t="s">
        <v>234</v>
      </c>
      <c r="E2" s="103">
        <v>45084</v>
      </c>
      <c r="F2" s="93">
        <v>45086</v>
      </c>
      <c r="G2" s="93">
        <v>45086</v>
      </c>
      <c r="H2" s="43" t="str">
        <f>IF(Datos!$G2&gt;0,Datos!$G2-Datos!$E2+1 &amp; " " &amp; Idiomas!$A$29,"")</f>
        <v>3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222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43.2" x14ac:dyDescent="0.3">
      <c r="A3" s="94" t="s">
        <v>2</v>
      </c>
      <c r="B3" s="95" t="s">
        <v>15</v>
      </c>
      <c r="C3" s="3" t="s">
        <v>225</v>
      </c>
      <c r="D3" s="104" t="s">
        <v>235</v>
      </c>
      <c r="E3" s="105">
        <v>45082</v>
      </c>
      <c r="F3" s="96">
        <v>45085</v>
      </c>
      <c r="G3" s="96">
        <v>45085</v>
      </c>
      <c r="H3" s="45" t="str">
        <f>IF(Datos!$G3&gt;0,Datos!$G3-Datos!$E3+1 &amp; " " &amp; Idiomas!$A$29,"")</f>
        <v>4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222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ht="43.2" x14ac:dyDescent="0.3">
      <c r="A4" s="91" t="s">
        <v>2</v>
      </c>
      <c r="B4" s="92" t="s">
        <v>15</v>
      </c>
      <c r="C4" s="92" t="s">
        <v>226</v>
      </c>
      <c r="D4" s="102" t="s">
        <v>236</v>
      </c>
      <c r="E4" s="103">
        <v>45083</v>
      </c>
      <c r="F4" s="93">
        <v>45086</v>
      </c>
      <c r="G4" s="93">
        <v>45086</v>
      </c>
      <c r="H4" s="43" t="str">
        <f>IF(Datos!$G4&gt;0,Datos!$G4-Datos!$E4+1 &amp; " " &amp; Idiomas!$A$29,"")</f>
        <v>4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222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ht="28.8" x14ac:dyDescent="0.3">
      <c r="A5" s="94" t="s">
        <v>2</v>
      </c>
      <c r="B5" s="95" t="s">
        <v>15</v>
      </c>
      <c r="C5" s="3" t="s">
        <v>227</v>
      </c>
      <c r="D5" s="104" t="s">
        <v>237</v>
      </c>
      <c r="E5" s="96">
        <v>45082</v>
      </c>
      <c r="F5" s="96">
        <v>45086</v>
      </c>
      <c r="G5" s="96">
        <v>45086</v>
      </c>
      <c r="H5" s="45" t="str">
        <f>IF(Datos!$G5&gt;0,Datos!$G5-Datos!$E5+1 &amp; " " &amp; Idiomas!$A$29,"")</f>
        <v>5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223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43.2" x14ac:dyDescent="0.3">
      <c r="A6" s="91" t="s">
        <v>2</v>
      </c>
      <c r="B6" s="92" t="s">
        <v>15</v>
      </c>
      <c r="C6" s="107" t="s">
        <v>228</v>
      </c>
      <c r="D6" s="102" t="s">
        <v>238</v>
      </c>
      <c r="E6" s="93">
        <v>45086</v>
      </c>
      <c r="F6" s="93">
        <v>45086</v>
      </c>
      <c r="G6" s="93">
        <v>45086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223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ht="28.8" x14ac:dyDescent="0.3">
      <c r="A7" s="94" t="s">
        <v>2</v>
      </c>
      <c r="B7" s="95" t="s">
        <v>15</v>
      </c>
      <c r="C7" s="106" t="s">
        <v>229</v>
      </c>
      <c r="D7" s="104" t="s">
        <v>239</v>
      </c>
      <c r="E7" s="96">
        <v>45083</v>
      </c>
      <c r="F7" s="96">
        <v>45084</v>
      </c>
      <c r="G7" s="96">
        <v>45084</v>
      </c>
      <c r="H7" s="45" t="str">
        <f>IF(Datos!$G7&gt;0,Datos!$G7-Datos!$E7+1 &amp; " " &amp; Idiomas!$A$29,"")</f>
        <v>2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223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43.2" x14ac:dyDescent="0.3">
      <c r="A8" s="91" t="s">
        <v>2</v>
      </c>
      <c r="B8" s="92" t="s">
        <v>15</v>
      </c>
      <c r="C8" s="109" t="s">
        <v>230</v>
      </c>
      <c r="D8" s="102" t="s">
        <v>240</v>
      </c>
      <c r="E8" s="110">
        <v>45086</v>
      </c>
      <c r="F8" s="93">
        <v>45086</v>
      </c>
      <c r="G8" s="110">
        <v>45086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223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ht="43.2" x14ac:dyDescent="0.3">
      <c r="A9" s="94" t="s">
        <v>2</v>
      </c>
      <c r="B9" s="95" t="s">
        <v>15</v>
      </c>
      <c r="C9" s="106" t="s">
        <v>231</v>
      </c>
      <c r="D9" s="104" t="s">
        <v>241</v>
      </c>
      <c r="E9" s="96">
        <v>45083</v>
      </c>
      <c r="F9" s="96">
        <v>45084</v>
      </c>
      <c r="G9" s="96">
        <v>45084</v>
      </c>
      <c r="H9" s="45" t="str">
        <f>IF(Datos!$G9&gt;0,Datos!$G9-Datos!$E9+1 &amp; " " &amp; Idiomas!$A$29,"")</f>
        <v>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233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28.8" x14ac:dyDescent="0.3">
      <c r="A10" s="91" t="s">
        <v>2</v>
      </c>
      <c r="B10" s="92" t="s">
        <v>15</v>
      </c>
      <c r="C10" s="107" t="s">
        <v>221</v>
      </c>
      <c r="D10" s="102" t="s">
        <v>242</v>
      </c>
      <c r="E10" s="93">
        <v>45084</v>
      </c>
      <c r="F10" s="93">
        <v>45086</v>
      </c>
      <c r="G10" s="93">
        <v>45086</v>
      </c>
      <c r="H10" s="43" t="str">
        <f>IF(Datos!$G10&gt;0,Datos!$G10-Datos!$E10+1 &amp; " " &amp; Idiomas!$A$29,"")</f>
        <v>3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233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ht="43.2" x14ac:dyDescent="0.3">
      <c r="A11" s="94" t="s">
        <v>2</v>
      </c>
      <c r="B11" s="95" t="s">
        <v>15</v>
      </c>
      <c r="C11" s="106" t="s">
        <v>220</v>
      </c>
      <c r="D11" s="104" t="s">
        <v>243</v>
      </c>
      <c r="E11" s="97">
        <v>45084</v>
      </c>
      <c r="F11" s="96">
        <v>45086</v>
      </c>
      <c r="G11" s="96">
        <v>45086</v>
      </c>
      <c r="H11" s="45" t="str">
        <f>IF(Datos!$G11&gt;0,Datos!$G11-Datos!$E11+1 &amp; " " &amp; Idiomas!$A$29,"")</f>
        <v>3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233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43.2" x14ac:dyDescent="0.3">
      <c r="A12" s="91" t="s">
        <v>2</v>
      </c>
      <c r="B12" s="92" t="s">
        <v>15</v>
      </c>
      <c r="C12" s="107" t="s">
        <v>232</v>
      </c>
      <c r="D12" s="102" t="s">
        <v>244</v>
      </c>
      <c r="E12" s="98">
        <v>45082</v>
      </c>
      <c r="F12" s="93">
        <v>45086</v>
      </c>
      <c r="G12" s="93">
        <v>45086</v>
      </c>
      <c r="H12" s="43" t="str">
        <f>IF(Datos!$G12&gt;0,Datos!$G12-Datos!$E12+1 &amp; " " &amp; Idiomas!$A$29,"")</f>
        <v>5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233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x14ac:dyDescent="0.3">
      <c r="A13" s="94"/>
      <c r="B13" s="95"/>
      <c r="C13" s="108"/>
      <c r="D13" s="104"/>
      <c r="E13" s="96"/>
      <c r="F13" s="96"/>
      <c r="G13" s="96"/>
      <c r="H13" s="45" t="str">
        <f>IF(Datos!$G13&gt;0,Datos!$G13-Datos!$E13+1 &amp; " " &amp; Idiomas!$A$29,"")</f>
        <v/>
      </c>
      <c r="I13" s="45" t="str" cm="1">
        <f t="array" ref="I13">IF(OR(Datos!$G13="",Datos!$A13=""),"",IF(AND(Datos!$G13=0,Datos!$F13&gt;0,Fecha_Hoy&gt;Datos!$F13),Fecha_Hoy-Datos!$F13,IF(Datos!$F13&lt;Datos!$G13,Datos!$G13-Datos!$F13,0))&amp; " " &amp; Idiomas!$A$29)</f>
        <v/>
      </c>
      <c r="J13" s="95"/>
      <c r="K13" s="46" t="str" cm="1">
        <f t="array" aca="1" ref="K13" ca="1">HYPERLINK("["&amp;Archivo_Nombre&amp;"]KANBAN!"&amp;IF(Tareas!$P13="","B2",Tareas!$P13),IF(Datos!$A13="","",Idiomas!$A$12&amp;" "&amp;ROW()-1))</f>
        <v/>
      </c>
    </row>
    <row r="14" spans="1:11" customFormat="1" x14ac:dyDescent="0.3">
      <c r="A14" s="91"/>
      <c r="B14" s="92"/>
      <c r="C14" s="107"/>
      <c r="D14" s="102"/>
      <c r="E14" s="110"/>
      <c r="F14" s="93"/>
      <c r="G14" s="110"/>
      <c r="H14" s="43" t="str">
        <f>IF(Datos!$G14&gt;0,Datos!$G14-Datos!$E14+1 &amp; " " &amp; Idiomas!$A$29,"")</f>
        <v/>
      </c>
      <c r="I14" s="43" t="str" cm="1">
        <f t="array" ref="I14">IF(OR(Datos!$G14="",Datos!$A14=""),"",IF(AND(Datos!$G14=0,Datos!$F14&gt;0,Fecha_Hoy&gt;Datos!$F14),Fecha_Hoy-Datos!$F14,IF(Datos!$F14&lt;Datos!$G14,Datos!$G14-Datos!$F14,0))&amp; " " &amp; Idiomas!$A$29)</f>
        <v/>
      </c>
      <c r="J14" s="92"/>
      <c r="K14" s="44" t="str" cm="1">
        <f t="array" aca="1" ref="K14" ca="1">HYPERLINK("["&amp;Archivo_Nombre&amp;"]KANBAN!"&amp;IF(Tareas!$P14="","B2",Tareas!$P14),IF(Datos!$A14="","",Idiomas!$A$12&amp;" "&amp;ROW()-1))</f>
        <v/>
      </c>
    </row>
    <row r="15" spans="1:11" customFormat="1" x14ac:dyDescent="0.3">
      <c r="A15" s="94"/>
      <c r="B15" s="95"/>
      <c r="C15" s="106"/>
      <c r="D15" s="95"/>
      <c r="E15" s="111"/>
      <c r="F15" s="96"/>
      <c r="G15" s="111"/>
      <c r="H15" s="45" t="str">
        <f>IF(Datos!$G15&gt;0,Datos!$G15-Datos!$E15+1 &amp; " " &amp; Idiomas!$A$29,"")</f>
        <v/>
      </c>
      <c r="I15" s="45" t="str" cm="1">
        <f t="array" ref="I15">IF(OR(Datos!$G15="",Datos!$A15=""),"",IF(AND(Datos!$G15=0,Datos!$F15&gt;0,Fecha_Hoy&gt;Datos!$F15),Fecha_Hoy-Datos!$F15,IF(Datos!$F15&lt;Datos!$G15,Datos!$G15-Datos!$F15,0))&amp; " " &amp; Idiomas!$A$29)</f>
        <v/>
      </c>
      <c r="J15" s="95"/>
      <c r="K15" s="46" t="str" cm="1">
        <f t="array" aca="1" ref="K15" ca="1">HYPERLINK("["&amp;Archivo_Nombre&amp;"]KANBAN!"&amp;IF(Tareas!$P15="","B2",Tareas!$P15),IF(Datos!$A15="","",Idiomas!$A$12&amp;" "&amp;ROW()-1))</f>
        <v/>
      </c>
    </row>
    <row r="16" spans="1:11" customFormat="1" ht="15.6" x14ac:dyDescent="0.3">
      <c r="A16" s="91"/>
      <c r="B16" s="92"/>
      <c r="C16" s="112"/>
      <c r="D16" s="102"/>
      <c r="E16" s="110"/>
      <c r="F16" s="110"/>
      <c r="G16" s="110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3">
      <c r="A17" s="94"/>
      <c r="B17" s="95"/>
      <c r="C17" s="106"/>
      <c r="D17" s="104"/>
      <c r="E17" s="111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">
      <c r="A18" s="91"/>
      <c r="B18" s="92"/>
      <c r="C18" s="109"/>
      <c r="D18" s="92"/>
      <c r="E18" s="110"/>
      <c r="F18" s="110"/>
      <c r="G18" s="110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">
      <c r="A19" s="94"/>
      <c r="B19" s="95"/>
      <c r="C19" s="106"/>
      <c r="D19" s="95"/>
      <c r="E19" s="111"/>
      <c r="F19" s="111"/>
      <c r="G19" s="111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">
      <c r="A20" s="91"/>
      <c r="B20" s="92"/>
      <c r="C20" s="109"/>
      <c r="D20" s="92"/>
      <c r="E20" s="110"/>
      <c r="F20" s="110"/>
      <c r="G20" s="110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">
      <c r="A21" s="94"/>
      <c r="B21" s="95"/>
      <c r="C21" s="108"/>
      <c r="D21" s="104"/>
      <c r="E21" s="111"/>
      <c r="F21" s="111"/>
      <c r="G21" s="111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">
      <c r="A22" s="91"/>
      <c r="B22" s="92"/>
      <c r="C22" s="109"/>
      <c r="D22" s="92"/>
      <c r="E22" s="110"/>
      <c r="F22" s="110"/>
      <c r="G22" s="110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">
      <c r="A23" s="94"/>
      <c r="B23" s="95"/>
      <c r="C23" s="106"/>
      <c r="D23" s="95"/>
      <c r="E23" s="111"/>
      <c r="F23" s="111"/>
      <c r="G23" s="111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91"/>
      <c r="B24" s="92"/>
      <c r="C24" s="109"/>
      <c r="D24" s="92"/>
      <c r="E24" s="110"/>
      <c r="F24" s="110"/>
      <c r="G24" s="110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4"/>
      <c r="B25" s="95"/>
      <c r="C25" s="106"/>
      <c r="D25" s="95"/>
      <c r="E25" s="111"/>
      <c r="F25" s="111"/>
      <c r="G25" s="111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109"/>
      <c r="D26" s="92"/>
      <c r="E26" s="110"/>
      <c r="F26" s="110"/>
      <c r="G26" s="110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106"/>
      <c r="D27" s="95"/>
      <c r="E27" s="111"/>
      <c r="F27" s="111"/>
      <c r="G27" s="111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109"/>
      <c r="D28" s="92"/>
      <c r="E28" s="110"/>
      <c r="F28" s="110"/>
      <c r="G28" s="110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2</v>
      </c>
      <c r="B85" s="95" t="s">
        <v>3</v>
      </c>
      <c r="C85" s="104" t="s">
        <v>4</v>
      </c>
      <c r="D85" s="104" t="s">
        <v>5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6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14" priority="2" stopIfTrue="1">
      <formula>AND($A5&lt;&gt;"",$E5="")</formula>
    </cfRule>
  </conditionalFormatting>
  <conditionalFormatting sqref="I2:I101">
    <cfRule type="expression" dxfId="13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2" sqref="F12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7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">
      <c r="E3" s="8" t="s">
        <v>8</v>
      </c>
      <c r="F3" s="120" t="s">
        <v>9</v>
      </c>
      <c r="G3" s="120"/>
      <c r="H3" s="120"/>
    </row>
    <row r="4" spans="2:9" x14ac:dyDescent="0.3">
      <c r="B4" s="89" t="str">
        <f>Idiomas!$A$3</f>
        <v>Idioma</v>
      </c>
      <c r="E4" s="8" t="s">
        <v>10</v>
      </c>
      <c r="F4" s="121" t="s">
        <v>11</v>
      </c>
      <c r="G4" s="121"/>
      <c r="H4" s="121"/>
    </row>
    <row r="5" spans="2:9" ht="15" customHeight="1" x14ac:dyDescent="0.3">
      <c r="B5" s="90" t="s">
        <v>12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13</v>
      </c>
    </row>
    <row r="9" spans="2:9" x14ac:dyDescent="0.3">
      <c r="B9" s="75" t="s">
        <v>14</v>
      </c>
      <c r="D9" s="72" t="s">
        <v>15</v>
      </c>
      <c r="F9" s="68" t="s">
        <v>222</v>
      </c>
      <c r="H9" s="66" t="str">
        <f>Idiomas!$A$12</f>
        <v>Tarea</v>
      </c>
      <c r="I9" s="85">
        <v>1</v>
      </c>
    </row>
    <row r="10" spans="2:9" x14ac:dyDescent="0.3">
      <c r="B10" s="76" t="s">
        <v>16</v>
      </c>
      <c r="D10" s="73" t="s">
        <v>17</v>
      </c>
      <c r="F10" s="69" t="s">
        <v>223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18</v>
      </c>
      <c r="D11" s="74" t="s">
        <v>3</v>
      </c>
      <c r="F11" s="70" t="s">
        <v>224</v>
      </c>
      <c r="H11" s="79" t="str">
        <f>Idiomas!$A$14</f>
        <v>Inicio</v>
      </c>
      <c r="I11" s="86">
        <v>3</v>
      </c>
    </row>
    <row r="12" spans="2:9" x14ac:dyDescent="0.3">
      <c r="B12" s="76" t="s">
        <v>2</v>
      </c>
      <c r="F12" s="69" t="s">
        <v>233</v>
      </c>
      <c r="H12" s="67" t="str">
        <f>Idiomas!$A$15</f>
        <v>Previsto</v>
      </c>
      <c r="I12" s="87">
        <v>4</v>
      </c>
    </row>
    <row r="13" spans="2:9" ht="15" thickBot="1" x14ac:dyDescent="0.35">
      <c r="B13" s="77" t="s">
        <v>19</v>
      </c>
      <c r="F13" s="70"/>
      <c r="H13" s="79" t="str">
        <f>Idiomas!$A$16</f>
        <v>Final</v>
      </c>
      <c r="I13" s="86">
        <v>5</v>
      </c>
    </row>
    <row r="14" spans="2:9" x14ac:dyDescent="0.3">
      <c r="B14" s="76" t="s">
        <v>14</v>
      </c>
      <c r="F14" s="68" t="s">
        <v>20</v>
      </c>
      <c r="H14" s="67" t="str">
        <f>Idiomas!$A$17</f>
        <v>Duración</v>
      </c>
      <c r="I14" s="87">
        <v>6</v>
      </c>
    </row>
    <row r="15" spans="2:9" x14ac:dyDescent="0.3">
      <c r="B15" s="77" t="s">
        <v>16</v>
      </c>
      <c r="F15" s="69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21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18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7" t="s">
        <v>22</v>
      </c>
      <c r="C23" s="118"/>
      <c r="D23" s="119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23</v>
      </c>
      <c r="F1" s="50" t="s">
        <v>24</v>
      </c>
      <c r="G1" s="50" t="s">
        <v>25</v>
      </c>
      <c r="H1" s="50" t="s">
        <v>26</v>
      </c>
      <c r="I1" s="50" t="s">
        <v>27</v>
      </c>
      <c r="J1" s="50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0" t="str">
        <f>Idiomas!$A$21</f>
        <v>Celda</v>
      </c>
      <c r="P1" s="51" t="s">
        <v>33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R-105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R-105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R105:R112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R-96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R-96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R96:R103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R-87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R-87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R87:R94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1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R-78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R-78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R78:R85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1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R-69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R-69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R69:R76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R-60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R-60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R60:R67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1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R-51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R-51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R51:R58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1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R-42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R-42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R42:R49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1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R-33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R-33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R33:R40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R-24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R-24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R24:R31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R-15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R-15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R15:R22</v>
      </c>
    </row>
    <row r="13" spans="1:16" ht="15.6" thickTop="1" thickBot="1" x14ac:dyDescent="0.35">
      <c r="A13" s="56" t="str">
        <f>IFERROR(IF(Datos!$A13="","",Idiomas!$A$12&amp;" "&amp;ROW()-1),"")</f>
        <v/>
      </c>
      <c r="B13" s="57">
        <f>IFERROR(MATCH(Datos!$A13,Configura!$B$9:$B$18,0),0)</f>
        <v>0</v>
      </c>
      <c r="C13" s="57">
        <f>IFERROR(MATCH(Datos!$B13,Configura!$D$9:$D$11,0),0)</f>
        <v>0</v>
      </c>
      <c r="D13" s="57" cm="1">
        <f t="array" ref="D13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0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5.6" thickTop="1" thickBot="1" x14ac:dyDescent="0.35">
      <c r="A14" s="52" t="str">
        <f>IFERROR(IF(Datos!$A14="","",Idiomas!$A$12&amp;" "&amp;ROW()-1),"")</f>
        <v/>
      </c>
      <c r="B14" s="53">
        <f>IFERROR(MATCH(Datos!$A14,Configura!$B$9:$B$18,0),0)</f>
        <v>0</v>
      </c>
      <c r="C14" s="53">
        <f>IFERROR(MATCH(Datos!$B14,Configura!$D$9:$D$11,0),0)</f>
        <v>0</v>
      </c>
      <c r="D14" s="53" cm="1">
        <f t="array" ref="D14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0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5.6" thickTop="1" thickBot="1" x14ac:dyDescent="0.35">
      <c r="A15" s="56" t="str">
        <f>IFERROR(IF(Datos!$A15="","",Idiomas!$A$12&amp;" "&amp;ROW()-1),"")</f>
        <v/>
      </c>
      <c r="B15" s="57">
        <f>IFERROR(MATCH(Datos!$A15,Configura!$B$9:$B$18,0),0)</f>
        <v>0</v>
      </c>
      <c r="C15" s="57">
        <f>IFERROR(MATCH(Datos!$B15,Configura!$D$9:$D$11,0),0)</f>
        <v>0</v>
      </c>
      <c r="D15" s="57" cm="1">
        <f t="array" ref="D15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0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5.6" thickTop="1" thickBot="1" x14ac:dyDescent="0.35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11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2</v>
      </c>
      <c r="S13" s="20">
        <f t="shared" ca="1" si="3"/>
        <v>11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11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11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11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11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11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11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11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10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10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10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10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10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10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10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10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10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9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9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9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9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9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9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9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9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9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8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8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8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8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8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8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8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8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8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7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7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7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7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7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7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7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7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7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6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1-1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6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1-2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6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1-3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6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1-4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6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1-5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6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1-6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6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1-7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6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1-8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6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5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1-1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5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1-2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5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1-3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5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1-4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5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1-5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5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1-6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5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1-7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5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1-8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5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4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4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4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4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4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4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4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4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4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3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3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3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3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3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3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3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3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3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2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2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2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2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2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2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2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2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2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13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13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13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13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13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13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13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13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13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13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13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13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13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13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13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13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13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13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13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13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13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13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13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13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13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13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13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13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13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13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13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13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13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13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13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13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13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13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13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13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13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13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13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13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13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13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13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13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13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13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13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13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13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13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13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13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13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13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13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13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13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13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13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13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13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13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13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13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13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13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13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13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13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13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13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13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13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13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13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12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x14ac:dyDescent="0.3">
      <c r="A2" s="32" t="str" cm="1">
        <f t="array" ref="A2">INDEX(TablaIdiomas[#This Row],1,$A$1)&amp;""</f>
        <v>Tablero KANBAN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 spans="1:7" x14ac:dyDescent="0.3">
      <c r="A3" s="36" t="str" cm="1">
        <f t="array" ref="A3">INDEX(TablaIdiomas[#This Row],1,$A$1)&amp;""</f>
        <v>Idioma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3">
      <c r="A4" s="32" t="str" cm="1">
        <f t="array" ref="A4">INDEX(TablaIdiomas[#This Row],1,$A$1)&amp;""</f>
        <v>AVISO: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51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</row>
    <row r="7" spans="1:7" x14ac:dyDescent="0.3">
      <c r="A7" s="36" t="str" cm="1">
        <f t="array" ref="A7">INDEX(TablaIdiomas[#This Row],1,$A$1)&amp;""</f>
        <v>Estados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68</v>
      </c>
    </row>
    <row r="8" spans="1:7" x14ac:dyDescent="0.3">
      <c r="A8" s="32" t="str" cm="1">
        <f t="array" ref="A8">INDEX(TablaIdiomas[#This Row],1,$A$1)&amp;""</f>
        <v>Criticidad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</row>
    <row r="10" spans="1:7" x14ac:dyDescent="0.3">
      <c r="A10" s="32" t="str" cm="1">
        <f t="array" ref="A10">INDEX(TablaIdiomas[#This Row],1,$A$1)&amp;""</f>
        <v>Estado final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85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</row>
    <row r="12" spans="1:7" x14ac:dyDescent="0.3">
      <c r="A12" s="32" t="str" cm="1">
        <f t="array" ref="A12">INDEX(TablaIdiomas[#This Row],1,$A$1)&amp;""</f>
        <v>Tarea</v>
      </c>
      <c r="B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102</v>
      </c>
      <c r="C13" s="2" t="s">
        <v>103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1:7" x14ac:dyDescent="0.3">
      <c r="A14" s="32" t="str" cm="1">
        <f t="array" ref="A14">INDEX(TablaIdiomas[#This Row],1,$A$1)&amp;""</f>
        <v>Inicio</v>
      </c>
      <c r="B14" s="2" t="s">
        <v>107</v>
      </c>
      <c r="C14" s="2" t="s">
        <v>108</v>
      </c>
      <c r="D14" s="2" t="s">
        <v>109</v>
      </c>
      <c r="E14" s="2" t="s">
        <v>110</v>
      </c>
      <c r="F14" s="2" t="s">
        <v>108</v>
      </c>
      <c r="G14" s="2" t="s">
        <v>111</v>
      </c>
    </row>
    <row r="15" spans="1:7" x14ac:dyDescent="0.3">
      <c r="A15" s="36" t="str" cm="1">
        <f t="array" ref="A15">INDEX(TablaIdiomas[#This Row],1,$A$1)&amp;""</f>
        <v>Previsto</v>
      </c>
      <c r="B15" s="2" t="s">
        <v>112</v>
      </c>
      <c r="C15" s="2" t="s">
        <v>113</v>
      </c>
      <c r="D15" s="2" t="s">
        <v>114</v>
      </c>
      <c r="E15" s="2" t="s">
        <v>115</v>
      </c>
      <c r="F15" s="2" t="s">
        <v>116</v>
      </c>
      <c r="G15" s="2" t="s">
        <v>117</v>
      </c>
    </row>
    <row r="16" spans="1:7" x14ac:dyDescent="0.3">
      <c r="A16" s="32" t="str" cm="1">
        <f t="array" ref="A16">INDEX(TablaIdiomas[#This Row],1,$A$1)&amp;""</f>
        <v>Final</v>
      </c>
      <c r="B16" s="2" t="s">
        <v>118</v>
      </c>
      <c r="C16" s="2" t="s">
        <v>118</v>
      </c>
      <c r="D16" s="2" t="s">
        <v>119</v>
      </c>
      <c r="E16" s="2" t="s">
        <v>119</v>
      </c>
      <c r="F16" s="2" t="s">
        <v>119</v>
      </c>
      <c r="G16" s="2" t="s">
        <v>118</v>
      </c>
    </row>
    <row r="17" spans="1:7" x14ac:dyDescent="0.3">
      <c r="A17" s="36" t="str" cm="1">
        <f t="array" ref="A17">INDEX(TablaIdiomas[#This Row],1,$A$1)&amp;""</f>
        <v>Duración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</row>
    <row r="18" spans="1:7" x14ac:dyDescent="0.3">
      <c r="A18" s="32" t="str" cm="1">
        <f t="array" ref="A18">INDEX(TablaIdiomas[#This Row],1,$A$1)&amp;""</f>
        <v>Retraso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</row>
    <row r="19" spans="1:7" x14ac:dyDescent="0.3">
      <c r="A19" s="36" t="str" cm="1">
        <f t="array" ref="A19">INDEX(TablaIdiomas[#This Row],1,$A$1)&amp;""</f>
        <v>Asignado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</row>
    <row r="20" spans="1:7" x14ac:dyDescent="0.3">
      <c r="A20" s="32" t="str" cm="1">
        <f t="array" ref="A20">INDEX(TablaIdiomas[#This Row],1,$A$1)&amp;""</f>
        <v>Filtro</v>
      </c>
      <c r="B20" s="2" t="s">
        <v>138</v>
      </c>
      <c r="C20" s="2" t="s">
        <v>139</v>
      </c>
      <c r="D20" s="2" t="s">
        <v>140</v>
      </c>
      <c r="E20" s="2" t="s">
        <v>138</v>
      </c>
      <c r="F20" s="2" t="s">
        <v>139</v>
      </c>
      <c r="G20" s="2" t="s">
        <v>138</v>
      </c>
    </row>
    <row r="21" spans="1:7" x14ac:dyDescent="0.3">
      <c r="A21" s="36" t="str" cm="1">
        <f t="array" ref="A21">INDEX(TablaIdiomas[#This Row],1,$A$1)&amp;""</f>
        <v>Celda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</row>
    <row r="23" spans="1:7" x14ac:dyDescent="0.3">
      <c r="A23" s="36" t="str" cm="1">
        <f t="array" ref="A23">INDEX(TablaIdiomas[#This Row],1,$A$1)&amp;""</f>
        <v>líneas</v>
      </c>
      <c r="B23" s="2" t="s">
        <v>153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159</v>
      </c>
      <c r="C24" s="2" t="s">
        <v>160</v>
      </c>
      <c r="D24" s="2" t="s">
        <v>161</v>
      </c>
      <c r="E24" s="2" t="s">
        <v>162</v>
      </c>
      <c r="F24" s="2" t="s">
        <v>163</v>
      </c>
      <c r="G24" s="2" t="s">
        <v>164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170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171</v>
      </c>
      <c r="C26" s="2" t="s">
        <v>172</v>
      </c>
      <c r="D26" s="2" t="s">
        <v>173</v>
      </c>
      <c r="E26" s="2" t="s">
        <v>174</v>
      </c>
      <c r="F26" s="2" t="s">
        <v>175</v>
      </c>
      <c r="G26" s="2" t="s">
        <v>176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183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188</v>
      </c>
    </row>
    <row r="29" spans="1:7" x14ac:dyDescent="0.3">
      <c r="A29" s="36" t="str" cm="1">
        <f t="array" ref="A29">INDEX(TablaIdiomas[#This Row],1,$A$1)&amp;""</f>
        <v>días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195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201</v>
      </c>
      <c r="C31" s="2" t="s">
        <v>202</v>
      </c>
      <c r="D31" s="2" t="s">
        <v>203</v>
      </c>
      <c r="E31" s="2" t="s">
        <v>204</v>
      </c>
      <c r="F31" s="2" t="s">
        <v>205</v>
      </c>
      <c r="G31" s="2" t="s">
        <v>206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207</v>
      </c>
      <c r="C32" s="2" t="s">
        <v>208</v>
      </c>
      <c r="D32" s="2" t="s">
        <v>209</v>
      </c>
      <c r="E32" s="2" t="s">
        <v>210</v>
      </c>
      <c r="F32" s="2" t="s">
        <v>211</v>
      </c>
      <c r="G32" s="2" t="s">
        <v>212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213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César Herrera Ramírez</cp:lastModifiedBy>
  <cp:revision>0</cp:revision>
  <dcterms:created xsi:type="dcterms:W3CDTF">2022-12-26T11:27:14Z</dcterms:created>
  <dcterms:modified xsi:type="dcterms:W3CDTF">2026-01-23T17:27:31Z</dcterms:modified>
  <cp:category/>
  <cp:contentStatus/>
</cp:coreProperties>
</file>